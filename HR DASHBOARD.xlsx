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5835413493b04483/ドキュメント/"/>
    </mc:Choice>
  </mc:AlternateContent>
  <xr:revisionPtr revIDLastSave="1630" documentId="8_{D922935C-0036-4143-98E9-495E55FEC33C}" xr6:coauthVersionLast="47" xr6:coauthVersionMax="47" xr10:uidLastSave="{F2360B4E-86A1-42DD-B624-45E0F5550D58}"/>
  <bookViews>
    <workbookView xWindow="-108" yWindow="-108" windowWidth="23256" windowHeight="12456" activeTab="1" xr2:uid="{8B0DF93A-013E-402A-9FAC-E2BF4C18AD06}"/>
  </bookViews>
  <sheets>
    <sheet name="PIVOT TABLES" sheetId="1" r:id="rId1"/>
    <sheet name="DASHBOARD" sheetId="2" r:id="rId2"/>
  </sheets>
  <definedNames>
    <definedName name="Slicer_Gender">#N/A</definedName>
  </definedNames>
  <calcPr calcId="191029"/>
  <pivotCaches>
    <pivotCache cacheId="14" r:id="rId3"/>
    <pivotCache cacheId="17" r:id="rId4"/>
    <pivotCache cacheId="20" r:id="rId5"/>
    <pivotCache cacheId="23" r:id="rId6"/>
    <pivotCache cacheId="26" r:id="rId7"/>
    <pivotCache cacheId="29" r:id="rId8"/>
    <pivotCache cacheId="32" r:id="rId9"/>
    <pivotCache cacheId="35" r:id="rId10"/>
    <pivotCache cacheId="38" r:id="rId11"/>
    <pivotCache cacheId="41" r:id="rId12"/>
    <pivotCache cacheId="44" r:id="rId13"/>
  </pivotCaches>
  <extLst>
    <ext xmlns:x14="http://schemas.microsoft.com/office/spreadsheetml/2009/9/main" uri="{876F7934-8845-4945-9796-88D515C7AA90}">
      <x14:pivotCaches>
        <pivotCache cacheId="11"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R_541bf8de-4292-4535-9d91-b344d1ac80c0" name="HR" connection="Query - HR"/>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6" i="1" l="1"/>
  <c r="K51" i="1"/>
  <c r="K42" i="1"/>
  <c r="H4" i="1"/>
  <c r="M17" i="1"/>
  <c r="H5" i="1"/>
  <c r="F4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7B5E8C8-A521-4602-816B-08FDFF67AEC9}" name="Query - HR" description="Connection to the 'HR' query in the workbook." type="100" refreshedVersion="8" minRefreshableVersion="5">
    <extLst>
      <ext xmlns:x15="http://schemas.microsoft.com/office/spreadsheetml/2010/11/main" uri="{DE250136-89BD-433C-8126-D09CA5730AF9}">
        <x15:connection id="cf66d5a0-1d1b-4dcf-baf6-35ba7337b41e"/>
      </ext>
    </extLst>
  </connection>
  <connection id="2" xr16:uid="{83D4D065-24ED-4666-8DDA-F9D7DAFBF16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<sst xmlns="http://schemas.openxmlformats.org/spreadsheetml/2006/main" count="76" uniqueCount="44">
  <si>
    <t>Row Labels</t>
  </si>
  <si>
    <t>Grand Total</t>
  </si>
  <si>
    <t>Count of Age</t>
  </si>
  <si>
    <t>Human Resources</t>
  </si>
  <si>
    <t>Research &amp; Development</t>
  </si>
  <si>
    <t>Sales</t>
  </si>
  <si>
    <t>Employess left</t>
  </si>
  <si>
    <t>Attrition rate</t>
  </si>
  <si>
    <t>Laboratory Technician</t>
  </si>
  <si>
    <t>Married</t>
  </si>
  <si>
    <t>Divorced</t>
  </si>
  <si>
    <t>Sales Representative</t>
  </si>
  <si>
    <t>Single</t>
  </si>
  <si>
    <t>Research Scientist</t>
  </si>
  <si>
    <t>Sales Executive</t>
  </si>
  <si>
    <t>Total Employess</t>
  </si>
  <si>
    <t>Life Sciences</t>
  </si>
  <si>
    <t>Marketing</t>
  </si>
  <si>
    <t>Medical</t>
  </si>
  <si>
    <t>Other</t>
  </si>
  <si>
    <t>Technical Degree</t>
  </si>
  <si>
    <t>No</t>
  </si>
  <si>
    <t>Yes</t>
  </si>
  <si>
    <t>Column Labels</t>
  </si>
  <si>
    <t>average</t>
  </si>
  <si>
    <t>moderate</t>
  </si>
  <si>
    <t>bad</t>
  </si>
  <si>
    <t>good</t>
  </si>
  <si>
    <t>Travel_Frequently</t>
  </si>
  <si>
    <t>Travel_Rarely</t>
  </si>
  <si>
    <t>Non-Travel</t>
  </si>
  <si>
    <t>EMPLOYESS DOING OVERTIME</t>
  </si>
  <si>
    <t>Average of MonthlyIncome</t>
  </si>
  <si>
    <t>Female</t>
  </si>
  <si>
    <t xml:space="preserve">TOTAL EMPLOYEES BY GENDER </t>
  </si>
  <si>
    <t>EMPLOYESS LEFT FROM EACH DEPARTMENT</t>
  </si>
  <si>
    <t>TOTAL EMPLOYESS BASED ON MARTIAL STATUS</t>
  </si>
  <si>
    <t>EMPLOYEES LEFT BASED ON JOB ROLE</t>
  </si>
  <si>
    <t>GENDER WISE ATTRITION RATE</t>
  </si>
  <si>
    <t>WORKLIFE BALANCE AND TRAVELING WISE ATTRITION</t>
  </si>
  <si>
    <t>EDUCATION DEPARTMENT  PERFORMANCE WISE ATTRITION</t>
  </si>
  <si>
    <t>OVERTIME WISE EMPLOYEES LEFT</t>
  </si>
  <si>
    <t>INCOME WISE ATTRITION</t>
  </si>
  <si>
    <t>Male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</si>
</sst>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quot;K&quot;"/>
  </numFmts>
  <fonts count="5" x14ac:knownFonts="1">
    <font>
      <sz val="11"/>
      <color theme="1"/>
      <name val="Calibri"/>
      <family val="2"/>
      <scheme val="minor"/>
    </font>
    <font>
      <sz val="11"/>
      <color theme="1"/>
      <name val="Calibri"/>
      <family val="2"/>
      <scheme val="minor"/>
    </font>
    <font>
      <b/>
      <sz val="11"/>
      <color theme="1"/>
      <name val="Calibri"/>
      <family val="2"/>
      <scheme val="minor"/>
    </font>
    <font>
      <sz val="11"/>
      <color theme="1"/>
      <name val="Aptos"/>
      <family val="2"/>
    </font>
    <font>
      <b/>
      <sz val="11"/>
      <color theme="1"/>
      <name val="Aptos"/>
      <family val="2"/>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6">
    <xf numFmtId="0" fontId="0" fillId="0" borderId="0" xfId="0"/>
    <xf numFmtId="0" fontId="0" fillId="0" borderId="0" xfId="0" pivotButton="1"/>
    <xf numFmtId="0" fontId="0" fillId="0" borderId="0" xfId="0" applyAlignment="1">
      <alignment horizontal="left"/>
    </xf>
    <xf numFmtId="10" fontId="0" fillId="0" borderId="0" xfId="0" applyNumberFormat="1"/>
    <xf numFmtId="10" fontId="0" fillId="0" borderId="0" xfId="1" applyNumberFormat="1" applyFont="1"/>
    <xf numFmtId="164" fontId="0" fillId="0" borderId="0" xfId="0" applyNumberFormat="1"/>
    <xf numFmtId="0" fontId="3" fillId="0" borderId="0" xfId="0" applyFont="1"/>
    <xf numFmtId="0" fontId="3" fillId="0" borderId="0" xfId="0" pivotButton="1" applyFont="1"/>
    <xf numFmtId="0" fontId="3" fillId="0" borderId="0" xfId="0" applyFont="1" applyAlignment="1">
      <alignment horizontal="left"/>
    </xf>
    <xf numFmtId="0" fontId="2" fillId="0" borderId="0" xfId="0" applyFont="1"/>
    <xf numFmtId="0" fontId="0" fillId="0" borderId="0" xfId="0"/>
    <xf numFmtId="0" fontId="4" fillId="0" borderId="0" xfId="0" applyFont="1"/>
    <xf numFmtId="0" fontId="3" fillId="0" borderId="0" xfId="0" applyFont="1"/>
    <xf numFmtId="0" fontId="0" fillId="0" borderId="0" xfId="0" applyNumberFormat="1"/>
    <xf numFmtId="0" fontId="3" fillId="0" borderId="0" xfId="0" applyNumberFormat="1" applyFont="1"/>
    <xf numFmtId="9" fontId="0" fillId="2" borderId="0" xfId="1" applyFont="1" applyFill="1"/>
  </cellXfs>
  <cellStyles count="2">
    <cellStyle name="Normal" xfId="0" builtinId="0"/>
    <cellStyle name="Percent" xfId="1" builtinId="5"/>
  </cellStyles>
  <dxfs count="20">
    <dxf>
      <numFmt numFmtId="165" formatCode="0.0%"/>
    </dxf>
    <dxf>
      <numFmt numFmtId="165" formatCode="0.0%"/>
    </dxf>
    <dxf>
      <numFmt numFmtId="165" formatCode="0.0%"/>
    </dxf>
    <dxf>
      <numFmt numFmtId="14" formatCode="0.0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numFmt numFmtId="14" formatCode="0.00%"/>
    </dxf>
    <dxf>
      <numFmt numFmtId="165" formatCode="0.0%"/>
    </dxf>
    <dxf>
      <numFmt numFmtId="165" formatCode="0.0%"/>
    </dxf>
    <dxf>
      <numFmt numFmtId="165" formatCode="0.0%"/>
    </dxf>
  </dxfs>
  <tableStyles count="1" defaultTableStyle="TableStyleMedium2" defaultPivotStyle="PivotStyleLight16">
    <tableStyle name="Invisible" pivot="0" table="0" count="0" xr9:uid="{343946A2-D894-4E44-895B-70010D02F092}"/>
  </tableStyles>
  <colors>
    <mruColors>
      <color rgb="FFFF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styles" Target="styles.xml"/><Relationship Id="rId26" Type="http://schemas.openxmlformats.org/officeDocument/2006/relationships/customXml" Target="../customXml/item4.xml"/><Relationship Id="rId39" Type="http://schemas.openxmlformats.org/officeDocument/2006/relationships/customXml" Target="../customXml/item17.xml"/><Relationship Id="rId21" Type="http://schemas.microsoft.com/office/2017/10/relationships/person" Target="persons/person.xml"/><Relationship Id="rId34" Type="http://schemas.openxmlformats.org/officeDocument/2006/relationships/customXml" Target="../customXml/item12.xml"/><Relationship Id="rId42" Type="http://schemas.openxmlformats.org/officeDocument/2006/relationships/customXml" Target="../customXml/item20.xml"/><Relationship Id="rId47" Type="http://schemas.openxmlformats.org/officeDocument/2006/relationships/customXml" Target="../customXml/item25.xml"/><Relationship Id="rId50" Type="http://schemas.openxmlformats.org/officeDocument/2006/relationships/customXml" Target="../customXml/item28.xml"/><Relationship Id="rId55" Type="http://schemas.openxmlformats.org/officeDocument/2006/relationships/customXml" Target="../customXml/item33.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theme" Target="theme/theme1.xml"/><Relationship Id="rId29" Type="http://schemas.openxmlformats.org/officeDocument/2006/relationships/customXml" Target="../customXml/item7.xml"/><Relationship Id="rId11" Type="http://schemas.openxmlformats.org/officeDocument/2006/relationships/pivotCacheDefinition" Target="pivotCache/pivotCacheDefinition9.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45" Type="http://schemas.openxmlformats.org/officeDocument/2006/relationships/customXml" Target="../customXml/item23.xml"/><Relationship Id="rId53" Type="http://schemas.openxmlformats.org/officeDocument/2006/relationships/customXml" Target="../customXml/item31.xml"/><Relationship Id="rId5" Type="http://schemas.openxmlformats.org/officeDocument/2006/relationships/pivotCacheDefinition" Target="pivotCache/pivotCacheDefinition3.xml"/><Relationship Id="rId10" Type="http://schemas.openxmlformats.org/officeDocument/2006/relationships/pivotCacheDefinition" Target="pivotCache/pivotCacheDefinition8.xml"/><Relationship Id="rId19" Type="http://schemas.openxmlformats.org/officeDocument/2006/relationships/sharedStrings" Target="sharedStrings.xml"/><Relationship Id="rId31" Type="http://schemas.openxmlformats.org/officeDocument/2006/relationships/customXml" Target="../customXml/item9.xml"/><Relationship Id="rId44" Type="http://schemas.openxmlformats.org/officeDocument/2006/relationships/customXml" Target="../customXml/item22.xml"/><Relationship Id="rId52" Type="http://schemas.openxmlformats.org/officeDocument/2006/relationships/customXml" Target="../customXml/item30.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48" Type="http://schemas.openxmlformats.org/officeDocument/2006/relationships/customXml" Target="../customXml/item26.xml"/><Relationship Id="rId56" Type="http://schemas.openxmlformats.org/officeDocument/2006/relationships/customXml" Target="../customXml/item34.xml"/><Relationship Id="rId8" Type="http://schemas.openxmlformats.org/officeDocument/2006/relationships/pivotCacheDefinition" Target="pivotCache/pivotCacheDefinition6.xml"/><Relationship Id="rId51" Type="http://schemas.openxmlformats.org/officeDocument/2006/relationships/customXml" Target="../customXml/item29.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connections" Target="connections.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46" Type="http://schemas.openxmlformats.org/officeDocument/2006/relationships/customXml" Target="../customXml/item24.xml"/><Relationship Id="rId20" Type="http://schemas.openxmlformats.org/officeDocument/2006/relationships/powerPivotData" Target="model/item.data"/><Relationship Id="rId41" Type="http://schemas.openxmlformats.org/officeDocument/2006/relationships/customXml" Target="../customXml/item19.xml"/><Relationship Id="rId54" Type="http://schemas.openxmlformats.org/officeDocument/2006/relationships/customXml" Target="../customXml/item32.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5" Type="http://schemas.microsoft.com/office/2007/relationships/slicerCache" Target="slicerCaches/slicerCache1.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49" Type="http://schemas.openxmlformats.org/officeDocument/2006/relationships/customXml" Target="../customXml/item2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DASHBOARD.xlsx]PIVOT TABLES!PivotTable4</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DEPARTMENT</a:t>
            </a:r>
            <a:r>
              <a:rPr lang="en-US" baseline="0">
                <a:solidFill>
                  <a:schemeClr val="bg1"/>
                </a:solidFill>
              </a:rPr>
              <a:t> - WISE ATTRITION</a:t>
            </a:r>
            <a:endParaRPr lang="en-US">
              <a:solidFill>
                <a:schemeClr val="bg1"/>
              </a:solidFill>
            </a:endParaRPr>
          </a:p>
        </c:rich>
      </c:tx>
      <c:layout>
        <c:manualLayout>
          <c:xMode val="edge"/>
          <c:yMode val="edge"/>
          <c:x val="0.19983757504204872"/>
          <c:y val="2.69328109074915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381829844787108E-2"/>
          <c:y val="0.18504146296118479"/>
          <c:w val="0.91418730492264122"/>
          <c:h val="0.63553209267926936"/>
        </c:manualLayout>
      </c:layout>
      <c:barChart>
        <c:barDir val="col"/>
        <c:grouping val="clustered"/>
        <c:varyColors val="0"/>
        <c:ser>
          <c:idx val="0"/>
          <c:order val="0"/>
          <c:tx>
            <c:strRef>
              <c:f>'PIVOT TABLES'!$F$10</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TABLES'!$E$11:$E$14</c:f>
              <c:strCache>
                <c:ptCount val="3"/>
                <c:pt idx="0">
                  <c:v>Human Resources</c:v>
                </c:pt>
                <c:pt idx="1">
                  <c:v>Research &amp; Development</c:v>
                </c:pt>
                <c:pt idx="2">
                  <c:v>Sales</c:v>
                </c:pt>
              </c:strCache>
            </c:strRef>
          </c:cat>
          <c:val>
            <c:numRef>
              <c:f>'PIVOT TABLES'!$F$11:$F$14</c:f>
              <c:numCache>
                <c:formatCode>General</c:formatCode>
                <c:ptCount val="3"/>
                <c:pt idx="0">
                  <c:v>12</c:v>
                </c:pt>
                <c:pt idx="1">
                  <c:v>133</c:v>
                </c:pt>
                <c:pt idx="2">
                  <c:v>92</c:v>
                </c:pt>
              </c:numCache>
            </c:numRef>
          </c:val>
          <c:extLst>
            <c:ext xmlns:c16="http://schemas.microsoft.com/office/drawing/2014/chart" uri="{C3380CC4-5D6E-409C-BE32-E72D297353CC}">
              <c16:uniqueId val="{00000000-176D-4376-A8A1-8B793EE64389}"/>
            </c:ext>
          </c:extLst>
        </c:ser>
        <c:dLbls>
          <c:dLblPos val="outEnd"/>
          <c:showLegendKey val="0"/>
          <c:showVal val="1"/>
          <c:showCatName val="0"/>
          <c:showSerName val="0"/>
          <c:showPercent val="0"/>
          <c:showBubbleSize val="0"/>
        </c:dLbls>
        <c:gapWidth val="219"/>
        <c:overlap val="-27"/>
        <c:axId val="1089869311"/>
        <c:axId val="1089873151"/>
      </c:barChart>
      <c:catAx>
        <c:axId val="10898693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89873151"/>
        <c:crosses val="autoZero"/>
        <c:auto val="1"/>
        <c:lblAlgn val="ctr"/>
        <c:lblOffset val="100"/>
        <c:noMultiLvlLbl val="0"/>
      </c:catAx>
      <c:valAx>
        <c:axId val="108987315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89869311"/>
        <c:crosses val="autoZero"/>
        <c:crossBetween val="between"/>
      </c:valAx>
      <c:spPr>
        <a:solidFill>
          <a:srgbClr val="002060"/>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DASHBOARD.xlsx]PIVOT TABLES!PivotTable7</c:name>
    <c:fmtId val="3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solidFill>
                  <a:schemeClr val="bg1"/>
                </a:solidFill>
              </a:rPr>
              <a:t>JOB ROLES - WISE ATTRITION</a:t>
            </a:r>
          </a:p>
        </c:rich>
      </c:tx>
      <c:layout>
        <c:manualLayout>
          <c:xMode val="edge"/>
          <c:yMode val="edge"/>
          <c:x val="0.25852151924785155"/>
          <c:y val="3.68649300478622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pPr>
            <a:solidFill>
              <a:schemeClr val="accent1"/>
            </a:solidFill>
            <a:ln w="9525">
              <a:solidFill>
                <a:schemeClr val="accent1"/>
              </a:solid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TABLES'!$F$21</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TABLES'!$E$22:$E$27</c:f>
              <c:strCache>
                <c:ptCount val="5"/>
                <c:pt idx="0">
                  <c:v>Human Resources</c:v>
                </c:pt>
                <c:pt idx="1">
                  <c:v>Laboratory Technician</c:v>
                </c:pt>
                <c:pt idx="2">
                  <c:v>Research Scientist</c:v>
                </c:pt>
                <c:pt idx="3">
                  <c:v>Sales Executive</c:v>
                </c:pt>
                <c:pt idx="4">
                  <c:v>Sales Representative</c:v>
                </c:pt>
              </c:strCache>
            </c:strRef>
          </c:cat>
          <c:val>
            <c:numRef>
              <c:f>'PIVOT TABLES'!$F$22:$F$27</c:f>
              <c:numCache>
                <c:formatCode>General</c:formatCode>
                <c:ptCount val="5"/>
                <c:pt idx="0">
                  <c:v>12</c:v>
                </c:pt>
                <c:pt idx="1">
                  <c:v>62</c:v>
                </c:pt>
                <c:pt idx="2">
                  <c:v>47</c:v>
                </c:pt>
                <c:pt idx="3">
                  <c:v>57</c:v>
                </c:pt>
                <c:pt idx="4">
                  <c:v>33</c:v>
                </c:pt>
              </c:numCache>
            </c:numRef>
          </c:val>
          <c:extLst>
            <c:ext xmlns:c16="http://schemas.microsoft.com/office/drawing/2014/chart" uri="{C3380CC4-5D6E-409C-BE32-E72D297353CC}">
              <c16:uniqueId val="{00000000-FE32-4363-B601-FEB0AB3C43CA}"/>
            </c:ext>
          </c:extLst>
        </c:ser>
        <c:dLbls>
          <c:dLblPos val="ctr"/>
          <c:showLegendKey val="0"/>
          <c:showVal val="1"/>
          <c:showCatName val="0"/>
          <c:showSerName val="0"/>
          <c:showPercent val="0"/>
          <c:showBubbleSize val="0"/>
        </c:dLbls>
        <c:gapWidth val="150"/>
        <c:overlap val="100"/>
        <c:axId val="1191422575"/>
        <c:axId val="1191442255"/>
      </c:barChart>
      <c:catAx>
        <c:axId val="1191422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91442255"/>
        <c:crosses val="autoZero"/>
        <c:auto val="1"/>
        <c:lblAlgn val="ctr"/>
        <c:lblOffset val="100"/>
        <c:noMultiLvlLbl val="0"/>
      </c:catAx>
      <c:valAx>
        <c:axId val="11914422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91422575"/>
        <c:crosses val="autoZero"/>
        <c:crossBetween val="between"/>
      </c:valAx>
      <c:spPr>
        <a:solidFill>
          <a:srgbClr val="002060"/>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DASHBOARD.xlsx]PIVOT TABLES!PivotTable8</c:name>
    <c:fmtId val="3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'PIVOT TABLES'!$B$16</c:f>
              <c:strCache>
                <c:ptCount val="1"/>
                <c:pt idx="0">
                  <c:v>Employess left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949-41C4-B7DF-B9F471E5B13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949-41C4-B7DF-B9F471E5B13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949-41C4-B7DF-B9F471E5B13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TABLES'!$A$17:$A$20</c:f>
              <c:strCache>
                <c:ptCount val="3"/>
                <c:pt idx="0">
                  <c:v>Divorced</c:v>
                </c:pt>
                <c:pt idx="1">
                  <c:v>Married</c:v>
                </c:pt>
                <c:pt idx="2">
                  <c:v>Single</c:v>
                </c:pt>
              </c:strCache>
            </c:strRef>
          </c:cat>
          <c:val>
            <c:numRef>
              <c:f>'PIVOT TABLES'!$B$17:$B$20</c:f>
              <c:numCache>
                <c:formatCode>General</c:formatCode>
                <c:ptCount val="3"/>
                <c:pt idx="0">
                  <c:v>33</c:v>
                </c:pt>
                <c:pt idx="1">
                  <c:v>84</c:v>
                </c:pt>
                <c:pt idx="2">
                  <c:v>120</c:v>
                </c:pt>
              </c:numCache>
            </c:numRef>
          </c:val>
          <c:extLst>
            <c:ext xmlns:c16="http://schemas.microsoft.com/office/drawing/2014/chart" uri="{C3380CC4-5D6E-409C-BE32-E72D297353CC}">
              <c16:uniqueId val="{00000006-F949-41C4-B7DF-B9F471E5B135}"/>
            </c:ext>
          </c:extLst>
        </c:ser>
        <c:ser>
          <c:idx val="1"/>
          <c:order val="1"/>
          <c:tx>
            <c:strRef>
              <c:f>'PIVOT TABLES'!$C$16</c:f>
              <c:strCache>
                <c:ptCount val="1"/>
                <c:pt idx="0">
                  <c:v>Total Employess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F949-41C4-B7DF-B9F471E5B13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F949-41C4-B7DF-B9F471E5B13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F949-41C4-B7DF-B9F471E5B13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TABLES'!$A$17:$A$20</c:f>
              <c:strCache>
                <c:ptCount val="3"/>
                <c:pt idx="0">
                  <c:v>Divorced</c:v>
                </c:pt>
                <c:pt idx="1">
                  <c:v>Married</c:v>
                </c:pt>
                <c:pt idx="2">
                  <c:v>Single</c:v>
                </c:pt>
              </c:strCache>
            </c:strRef>
          </c:cat>
          <c:val>
            <c:numRef>
              <c:f>'PIVOT TABLES'!$C$17:$C$20</c:f>
              <c:numCache>
                <c:formatCode>General</c:formatCode>
                <c:ptCount val="3"/>
                <c:pt idx="0">
                  <c:v>327</c:v>
                </c:pt>
                <c:pt idx="1">
                  <c:v>673</c:v>
                </c:pt>
                <c:pt idx="2">
                  <c:v>470</c:v>
                </c:pt>
              </c:numCache>
            </c:numRef>
          </c:val>
          <c:extLst>
            <c:ext xmlns:c16="http://schemas.microsoft.com/office/drawing/2014/chart" uri="{C3380CC4-5D6E-409C-BE32-E72D297353CC}">
              <c16:uniqueId val="{0000000D-F949-41C4-B7DF-B9F471E5B135}"/>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rgbClr val="002060"/>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DASHBOARD.xlsx]PIVOT TABLES!PivotTable5</c:name>
    <c:fmtId val="4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bg1"/>
                </a:solidFill>
              </a:rPr>
              <a:t>worklife</a:t>
            </a:r>
            <a:r>
              <a:rPr lang="en-IN" baseline="0">
                <a:solidFill>
                  <a:schemeClr val="bg1"/>
                </a:solidFill>
              </a:rPr>
              <a:t>Balance &amp; Travelling - wise Attrition</a:t>
            </a:r>
            <a:endParaRPr lang="en-IN">
              <a:solidFill>
                <a:schemeClr val="bg1"/>
              </a:solidFill>
            </a:endParaRPr>
          </a:p>
        </c:rich>
      </c:tx>
      <c:layout>
        <c:manualLayout>
          <c:xMode val="edge"/>
          <c:yMode val="edge"/>
          <c:x val="0.12389015948708283"/>
          <c:y val="2.545673797760448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TABLES'!$I$21:$I$22</c:f>
              <c:strCache>
                <c:ptCount val="1"/>
                <c:pt idx="0">
                  <c:v>average</c:v>
                </c:pt>
              </c:strCache>
            </c:strRef>
          </c:tx>
          <c:spPr>
            <a:solidFill>
              <a:schemeClr val="accent1"/>
            </a:solidFill>
            <a:ln>
              <a:noFill/>
            </a:ln>
            <a:effectLst/>
          </c:spPr>
          <c:invertIfNegative val="0"/>
          <c:cat>
            <c:strRef>
              <c:f>'PIVOT TABLES'!$H$23:$H$26</c:f>
              <c:strCache>
                <c:ptCount val="3"/>
                <c:pt idx="0">
                  <c:v>Non-Travel</c:v>
                </c:pt>
                <c:pt idx="1">
                  <c:v>Travel_Frequently</c:v>
                </c:pt>
                <c:pt idx="2">
                  <c:v>Travel_Rarely</c:v>
                </c:pt>
              </c:strCache>
            </c:strRef>
          </c:cat>
          <c:val>
            <c:numRef>
              <c:f>'PIVOT TABLES'!$I$23:$I$26</c:f>
              <c:numCache>
                <c:formatCode>General</c:formatCode>
                <c:ptCount val="3"/>
                <c:pt idx="0">
                  <c:v>4</c:v>
                </c:pt>
                <c:pt idx="1">
                  <c:v>15</c:v>
                </c:pt>
                <c:pt idx="2">
                  <c:v>39</c:v>
                </c:pt>
              </c:numCache>
            </c:numRef>
          </c:val>
          <c:extLst>
            <c:ext xmlns:c16="http://schemas.microsoft.com/office/drawing/2014/chart" uri="{C3380CC4-5D6E-409C-BE32-E72D297353CC}">
              <c16:uniqueId val="{00000000-B10F-406D-A11E-376CD85747FC}"/>
            </c:ext>
          </c:extLst>
        </c:ser>
        <c:ser>
          <c:idx val="1"/>
          <c:order val="1"/>
          <c:tx>
            <c:strRef>
              <c:f>'PIVOT TABLES'!$J$21:$J$22</c:f>
              <c:strCache>
                <c:ptCount val="1"/>
                <c:pt idx="0">
                  <c:v>bad</c:v>
                </c:pt>
              </c:strCache>
            </c:strRef>
          </c:tx>
          <c:spPr>
            <a:solidFill>
              <a:schemeClr val="accent2"/>
            </a:solidFill>
            <a:ln>
              <a:noFill/>
            </a:ln>
            <a:effectLst/>
          </c:spPr>
          <c:invertIfNegative val="0"/>
          <c:cat>
            <c:strRef>
              <c:f>'PIVOT TABLES'!$H$23:$H$26</c:f>
              <c:strCache>
                <c:ptCount val="3"/>
                <c:pt idx="0">
                  <c:v>Non-Travel</c:v>
                </c:pt>
                <c:pt idx="1">
                  <c:v>Travel_Frequently</c:v>
                </c:pt>
                <c:pt idx="2">
                  <c:v>Travel_Rarely</c:v>
                </c:pt>
              </c:strCache>
            </c:strRef>
          </c:cat>
          <c:val>
            <c:numRef>
              <c:f>'PIVOT TABLES'!$J$23:$J$26</c:f>
              <c:numCache>
                <c:formatCode>General</c:formatCode>
                <c:ptCount val="3"/>
                <c:pt idx="0">
                  <c:v>1</c:v>
                </c:pt>
                <c:pt idx="1">
                  <c:v>6</c:v>
                </c:pt>
                <c:pt idx="2">
                  <c:v>18</c:v>
                </c:pt>
              </c:numCache>
            </c:numRef>
          </c:val>
          <c:extLst>
            <c:ext xmlns:c16="http://schemas.microsoft.com/office/drawing/2014/chart" uri="{C3380CC4-5D6E-409C-BE32-E72D297353CC}">
              <c16:uniqueId val="{00000001-B10F-406D-A11E-376CD85747FC}"/>
            </c:ext>
          </c:extLst>
        </c:ser>
        <c:ser>
          <c:idx val="2"/>
          <c:order val="2"/>
          <c:tx>
            <c:strRef>
              <c:f>'PIVOT TABLES'!$K$21:$K$22</c:f>
              <c:strCache>
                <c:ptCount val="1"/>
                <c:pt idx="0">
                  <c:v>good</c:v>
                </c:pt>
              </c:strCache>
            </c:strRef>
          </c:tx>
          <c:spPr>
            <a:solidFill>
              <a:schemeClr val="accent3"/>
            </a:solidFill>
            <a:ln>
              <a:noFill/>
            </a:ln>
            <a:effectLst/>
          </c:spPr>
          <c:invertIfNegative val="0"/>
          <c:cat>
            <c:strRef>
              <c:f>'PIVOT TABLES'!$H$23:$H$26</c:f>
              <c:strCache>
                <c:ptCount val="3"/>
                <c:pt idx="0">
                  <c:v>Non-Travel</c:v>
                </c:pt>
                <c:pt idx="1">
                  <c:v>Travel_Frequently</c:v>
                </c:pt>
                <c:pt idx="2">
                  <c:v>Travel_Rarely</c:v>
                </c:pt>
              </c:strCache>
            </c:strRef>
          </c:cat>
          <c:val>
            <c:numRef>
              <c:f>'PIVOT TABLES'!$K$23:$K$26</c:f>
              <c:numCache>
                <c:formatCode>General</c:formatCode>
                <c:ptCount val="3"/>
                <c:pt idx="0">
                  <c:v>2</c:v>
                </c:pt>
                <c:pt idx="1">
                  <c:v>8</c:v>
                </c:pt>
                <c:pt idx="2">
                  <c:v>17</c:v>
                </c:pt>
              </c:numCache>
            </c:numRef>
          </c:val>
          <c:extLst>
            <c:ext xmlns:c16="http://schemas.microsoft.com/office/drawing/2014/chart" uri="{C3380CC4-5D6E-409C-BE32-E72D297353CC}">
              <c16:uniqueId val="{00000002-B10F-406D-A11E-376CD85747FC}"/>
            </c:ext>
          </c:extLst>
        </c:ser>
        <c:ser>
          <c:idx val="3"/>
          <c:order val="3"/>
          <c:tx>
            <c:strRef>
              <c:f>'PIVOT TABLES'!$L$21:$L$22</c:f>
              <c:strCache>
                <c:ptCount val="1"/>
                <c:pt idx="0">
                  <c:v>moderate</c:v>
                </c:pt>
              </c:strCache>
            </c:strRef>
          </c:tx>
          <c:spPr>
            <a:solidFill>
              <a:schemeClr val="accent4"/>
            </a:solidFill>
            <a:ln>
              <a:noFill/>
            </a:ln>
            <a:effectLst/>
          </c:spPr>
          <c:invertIfNegative val="0"/>
          <c:cat>
            <c:strRef>
              <c:f>'PIVOT TABLES'!$H$23:$H$26</c:f>
              <c:strCache>
                <c:ptCount val="3"/>
                <c:pt idx="0">
                  <c:v>Non-Travel</c:v>
                </c:pt>
                <c:pt idx="1">
                  <c:v>Travel_Frequently</c:v>
                </c:pt>
                <c:pt idx="2">
                  <c:v>Travel_Rarely</c:v>
                </c:pt>
              </c:strCache>
            </c:strRef>
          </c:cat>
          <c:val>
            <c:numRef>
              <c:f>'PIVOT TABLES'!$L$23:$L$26</c:f>
              <c:numCache>
                <c:formatCode>General</c:formatCode>
                <c:ptCount val="3"/>
                <c:pt idx="0">
                  <c:v>5</c:v>
                </c:pt>
                <c:pt idx="1">
                  <c:v>40</c:v>
                </c:pt>
                <c:pt idx="2">
                  <c:v>82</c:v>
                </c:pt>
              </c:numCache>
            </c:numRef>
          </c:val>
          <c:extLst>
            <c:ext xmlns:c16="http://schemas.microsoft.com/office/drawing/2014/chart" uri="{C3380CC4-5D6E-409C-BE32-E72D297353CC}">
              <c16:uniqueId val="{00000003-B10F-406D-A11E-376CD85747FC}"/>
            </c:ext>
          </c:extLst>
        </c:ser>
        <c:dLbls>
          <c:showLegendKey val="0"/>
          <c:showVal val="0"/>
          <c:showCatName val="0"/>
          <c:showSerName val="0"/>
          <c:showPercent val="0"/>
          <c:showBubbleSize val="0"/>
        </c:dLbls>
        <c:gapWidth val="219"/>
        <c:overlap val="-27"/>
        <c:axId val="108387247"/>
        <c:axId val="108384367"/>
      </c:barChart>
      <c:catAx>
        <c:axId val="108387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8384367"/>
        <c:crosses val="autoZero"/>
        <c:auto val="1"/>
        <c:lblAlgn val="ctr"/>
        <c:lblOffset val="100"/>
        <c:noMultiLvlLbl val="0"/>
      </c:catAx>
      <c:valAx>
        <c:axId val="1083843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8387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DASHBOARD.xlsx]PIVOT TABLES!PivotTable11</c:name>
    <c:fmtId val="3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bg1"/>
                </a:solidFill>
              </a:rPr>
              <a:t>Education</a:t>
            </a:r>
            <a:r>
              <a:rPr lang="en-IN" baseline="0">
                <a:solidFill>
                  <a:schemeClr val="bg1"/>
                </a:solidFill>
              </a:rPr>
              <a:t> &amp; performance - wise Attrition</a:t>
            </a:r>
            <a:endParaRPr lang="en-IN">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TABLES'!$F$33:$F$34</c:f>
              <c:strCache>
                <c:ptCount val="1"/>
                <c:pt idx="0">
                  <c:v>3</c:v>
                </c:pt>
              </c:strCache>
            </c:strRef>
          </c:tx>
          <c:spPr>
            <a:solidFill>
              <a:schemeClr val="bg1"/>
            </a:solidFill>
            <a:ln>
              <a:noFill/>
            </a:ln>
            <a:effectLst/>
          </c:spPr>
          <c:invertIfNegative val="0"/>
          <c:cat>
            <c:strRef>
              <c:f>'PIVOT TABLES'!$E$35:$E$41</c:f>
              <c:strCache>
                <c:ptCount val="6"/>
                <c:pt idx="0">
                  <c:v>Human Resources</c:v>
                </c:pt>
                <c:pt idx="1">
                  <c:v>Life Sciences</c:v>
                </c:pt>
                <c:pt idx="2">
                  <c:v>Marketing</c:v>
                </c:pt>
                <c:pt idx="3">
                  <c:v>Medical</c:v>
                </c:pt>
                <c:pt idx="4">
                  <c:v>Other</c:v>
                </c:pt>
                <c:pt idx="5">
                  <c:v>Technical Degree</c:v>
                </c:pt>
              </c:strCache>
            </c:strRef>
          </c:cat>
          <c:val>
            <c:numRef>
              <c:f>'PIVOT TABLES'!$F$35:$F$41</c:f>
              <c:numCache>
                <c:formatCode>General</c:formatCode>
                <c:ptCount val="6"/>
                <c:pt idx="0">
                  <c:v>6</c:v>
                </c:pt>
                <c:pt idx="1">
                  <c:v>72</c:v>
                </c:pt>
                <c:pt idx="2">
                  <c:v>33</c:v>
                </c:pt>
                <c:pt idx="3">
                  <c:v>54</c:v>
                </c:pt>
                <c:pt idx="4">
                  <c:v>9</c:v>
                </c:pt>
                <c:pt idx="5">
                  <c:v>26</c:v>
                </c:pt>
              </c:numCache>
            </c:numRef>
          </c:val>
          <c:extLst>
            <c:ext xmlns:c16="http://schemas.microsoft.com/office/drawing/2014/chart" uri="{C3380CC4-5D6E-409C-BE32-E72D297353CC}">
              <c16:uniqueId val="{00000000-8179-497C-B5B7-9EDE2C41EA69}"/>
            </c:ext>
          </c:extLst>
        </c:ser>
        <c:ser>
          <c:idx val="1"/>
          <c:order val="1"/>
          <c:tx>
            <c:strRef>
              <c:f>'PIVOT TABLES'!$G$33:$G$34</c:f>
              <c:strCache>
                <c:ptCount val="1"/>
                <c:pt idx="0">
                  <c:v>4</c:v>
                </c:pt>
              </c:strCache>
            </c:strRef>
          </c:tx>
          <c:spPr>
            <a:solidFill>
              <a:srgbClr val="C00000"/>
            </a:solidFill>
            <a:ln>
              <a:noFill/>
            </a:ln>
            <a:effectLst/>
          </c:spPr>
          <c:invertIfNegative val="0"/>
          <c:cat>
            <c:strRef>
              <c:f>'PIVOT TABLES'!$E$35:$E$41</c:f>
              <c:strCache>
                <c:ptCount val="6"/>
                <c:pt idx="0">
                  <c:v>Human Resources</c:v>
                </c:pt>
                <c:pt idx="1">
                  <c:v>Life Sciences</c:v>
                </c:pt>
                <c:pt idx="2">
                  <c:v>Marketing</c:v>
                </c:pt>
                <c:pt idx="3">
                  <c:v>Medical</c:v>
                </c:pt>
                <c:pt idx="4">
                  <c:v>Other</c:v>
                </c:pt>
                <c:pt idx="5">
                  <c:v>Technical Degree</c:v>
                </c:pt>
              </c:strCache>
            </c:strRef>
          </c:cat>
          <c:val>
            <c:numRef>
              <c:f>'PIVOT TABLES'!$G$35:$G$41</c:f>
              <c:numCache>
                <c:formatCode>General</c:formatCode>
                <c:ptCount val="6"/>
                <c:pt idx="0">
                  <c:v>1</c:v>
                </c:pt>
                <c:pt idx="1">
                  <c:v>17</c:v>
                </c:pt>
                <c:pt idx="2">
                  <c:v>2</c:v>
                </c:pt>
                <c:pt idx="3">
                  <c:v>9</c:v>
                </c:pt>
                <c:pt idx="4">
                  <c:v>2</c:v>
                </c:pt>
                <c:pt idx="5">
                  <c:v>6</c:v>
                </c:pt>
              </c:numCache>
            </c:numRef>
          </c:val>
          <c:extLst>
            <c:ext xmlns:c16="http://schemas.microsoft.com/office/drawing/2014/chart" uri="{C3380CC4-5D6E-409C-BE32-E72D297353CC}">
              <c16:uniqueId val="{00000001-8179-497C-B5B7-9EDE2C41EA69}"/>
            </c:ext>
          </c:extLst>
        </c:ser>
        <c:dLbls>
          <c:showLegendKey val="0"/>
          <c:showVal val="0"/>
          <c:showCatName val="0"/>
          <c:showSerName val="0"/>
          <c:showPercent val="0"/>
          <c:showBubbleSize val="0"/>
        </c:dLbls>
        <c:gapWidth val="182"/>
        <c:axId val="1979878815"/>
        <c:axId val="1979876895"/>
      </c:barChart>
      <c:catAx>
        <c:axId val="1979878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79876895"/>
        <c:crosses val="autoZero"/>
        <c:auto val="1"/>
        <c:lblAlgn val="ctr"/>
        <c:lblOffset val="100"/>
        <c:noMultiLvlLbl val="0"/>
      </c:catAx>
      <c:valAx>
        <c:axId val="19798768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79878815"/>
        <c:crosses val="autoZero"/>
        <c:crossBetween val="between"/>
      </c:valAx>
      <c:spPr>
        <a:solidFill>
          <a:srgbClr val="002060"/>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DASHBOARD.xlsx]PIVOT TABLES!PivotTable12</c:name>
    <c:fmtId val="4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OVERTIME</a:t>
            </a:r>
            <a:r>
              <a:rPr lang="en-US" baseline="0">
                <a:solidFill>
                  <a:schemeClr val="bg1"/>
                </a:solidFill>
              </a:rPr>
              <a:t> - WISE ATTRITION</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14369158669186"/>
          <c:y val="0.19719467200964286"/>
          <c:w val="0.63620834045554187"/>
          <c:h val="0.66119905447729432"/>
        </c:manualLayout>
      </c:layout>
      <c:barChart>
        <c:barDir val="col"/>
        <c:grouping val="clustered"/>
        <c:varyColors val="0"/>
        <c:ser>
          <c:idx val="0"/>
          <c:order val="0"/>
          <c:tx>
            <c:strRef>
              <c:f>'PIVOT TABLES'!$K$33</c:f>
              <c:strCache>
                <c:ptCount val="1"/>
                <c:pt idx="0">
                  <c:v>Total</c:v>
                </c:pt>
              </c:strCache>
            </c:strRef>
          </c:tx>
          <c:spPr>
            <a:solidFill>
              <a:schemeClr val="accent1"/>
            </a:solidFill>
            <a:ln>
              <a:noFill/>
            </a:ln>
            <a:effectLst/>
          </c:spPr>
          <c:invertIfNegative val="0"/>
          <c:cat>
            <c:strRef>
              <c:f>'PIVOT TABLES'!$J$34:$J$36</c:f>
              <c:strCache>
                <c:ptCount val="2"/>
                <c:pt idx="0">
                  <c:v>No</c:v>
                </c:pt>
                <c:pt idx="1">
                  <c:v>Yes</c:v>
                </c:pt>
              </c:strCache>
            </c:strRef>
          </c:cat>
          <c:val>
            <c:numRef>
              <c:f>'PIVOT TABLES'!$K$34:$K$36</c:f>
              <c:numCache>
                <c:formatCode>General</c:formatCode>
                <c:ptCount val="2"/>
                <c:pt idx="0">
                  <c:v>110</c:v>
                </c:pt>
                <c:pt idx="1">
                  <c:v>127</c:v>
                </c:pt>
              </c:numCache>
            </c:numRef>
          </c:val>
          <c:extLst>
            <c:ext xmlns:c16="http://schemas.microsoft.com/office/drawing/2014/chart" uri="{C3380CC4-5D6E-409C-BE32-E72D297353CC}">
              <c16:uniqueId val="{00000000-0D64-4222-B763-D593F3126FA1}"/>
            </c:ext>
          </c:extLst>
        </c:ser>
        <c:dLbls>
          <c:showLegendKey val="0"/>
          <c:showVal val="0"/>
          <c:showCatName val="0"/>
          <c:showSerName val="0"/>
          <c:showPercent val="0"/>
          <c:showBubbleSize val="0"/>
        </c:dLbls>
        <c:gapWidth val="219"/>
        <c:axId val="1963133823"/>
        <c:axId val="1963128063"/>
      </c:barChart>
      <c:catAx>
        <c:axId val="1963133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63128063"/>
        <c:crosses val="autoZero"/>
        <c:auto val="1"/>
        <c:lblAlgn val="ctr"/>
        <c:lblOffset val="100"/>
        <c:noMultiLvlLbl val="0"/>
      </c:catAx>
      <c:valAx>
        <c:axId val="19631280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63133823"/>
        <c:crosses val="autoZero"/>
        <c:crossBetween val="between"/>
      </c:valAx>
      <c:spPr>
        <a:solidFill>
          <a:srgbClr val="002060"/>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chart" Target="../charts/chart6.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5.xml"/><Relationship Id="rId5" Type="http://schemas.openxmlformats.org/officeDocument/2006/relationships/image" Target="../media/image5.png"/><Relationship Id="rId10" Type="http://schemas.openxmlformats.org/officeDocument/2006/relationships/chart" Target="../charts/chart4.xml"/><Relationship Id="rId4" Type="http://schemas.openxmlformats.org/officeDocument/2006/relationships/image" Target="../media/image4.svg"/><Relationship Id="rId9"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94344</xdr:colOff>
      <xdr:row>0</xdr:row>
      <xdr:rowOff>27542</xdr:rowOff>
    </xdr:from>
    <xdr:to>
      <xdr:col>8</xdr:col>
      <xdr:colOff>195644</xdr:colOff>
      <xdr:row>3</xdr:row>
      <xdr:rowOff>19188</xdr:rowOff>
    </xdr:to>
    <xdr:sp macro="" textlink="">
      <xdr:nvSpPr>
        <xdr:cNvPr id="2" name="Rectangle: Rounded Corners 1">
          <a:extLst>
            <a:ext uri="{FF2B5EF4-FFF2-40B4-BE49-F238E27FC236}">
              <a16:creationId xmlns:a16="http://schemas.microsoft.com/office/drawing/2014/main" id="{82A3B1FE-C7FA-9CFC-A448-A87426F397E2}"/>
            </a:ext>
          </a:extLst>
        </xdr:cNvPr>
        <xdr:cNvSpPr/>
      </xdr:nvSpPr>
      <xdr:spPr>
        <a:xfrm>
          <a:off x="94344" y="27542"/>
          <a:ext cx="4948722" cy="542489"/>
        </a:xfrm>
        <a:prstGeom prst="round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200"/>
            <a:t>HR</a:t>
          </a:r>
          <a:r>
            <a:rPr lang="en-IN" sz="3200" baseline="0"/>
            <a:t> ANALYTICS DASHBOARD</a:t>
          </a:r>
          <a:endParaRPr lang="en-IN" sz="3200"/>
        </a:p>
      </xdr:txBody>
    </xdr:sp>
    <xdr:clientData/>
  </xdr:twoCellAnchor>
  <xdr:twoCellAnchor>
    <xdr:from>
      <xdr:col>0</xdr:col>
      <xdr:colOff>107577</xdr:colOff>
      <xdr:row>3</xdr:row>
      <xdr:rowOff>80234</xdr:rowOff>
    </xdr:from>
    <xdr:to>
      <xdr:col>21</xdr:col>
      <xdr:colOff>412377</xdr:colOff>
      <xdr:row>3</xdr:row>
      <xdr:rowOff>103094</xdr:rowOff>
    </xdr:to>
    <xdr:cxnSp macro="">
      <xdr:nvCxnSpPr>
        <xdr:cNvPr id="4" name="Straight Connector 3">
          <a:extLst>
            <a:ext uri="{FF2B5EF4-FFF2-40B4-BE49-F238E27FC236}">
              <a16:creationId xmlns:a16="http://schemas.microsoft.com/office/drawing/2014/main" id="{98B188D2-2438-2A27-0571-69E1F9D7D070}"/>
            </a:ext>
          </a:extLst>
        </xdr:cNvPr>
        <xdr:cNvCxnSpPr/>
      </xdr:nvCxnSpPr>
      <xdr:spPr>
        <a:xfrm flipV="1">
          <a:off x="107577" y="618116"/>
          <a:ext cx="13106400" cy="22860"/>
        </a:xfrm>
        <a:prstGeom prst="line">
          <a:avLst/>
        </a:prstGeom>
      </xdr:spPr>
      <xdr:style>
        <a:lnRef idx="1">
          <a:schemeClr val="accent2"/>
        </a:lnRef>
        <a:fillRef idx="0">
          <a:schemeClr val="accent2"/>
        </a:fillRef>
        <a:effectRef idx="0">
          <a:schemeClr val="accent2"/>
        </a:effectRef>
        <a:fontRef idx="minor">
          <a:schemeClr val="tx1"/>
        </a:fontRef>
      </xdr:style>
    </xdr:cxnSp>
    <xdr:clientData/>
  </xdr:twoCellAnchor>
  <xdr:twoCellAnchor>
    <xdr:from>
      <xdr:col>0</xdr:col>
      <xdr:colOff>143435</xdr:colOff>
      <xdr:row>5</xdr:row>
      <xdr:rowOff>-1</xdr:rowOff>
    </xdr:from>
    <xdr:to>
      <xdr:col>4</xdr:col>
      <xdr:colOff>591671</xdr:colOff>
      <xdr:row>9</xdr:row>
      <xdr:rowOff>170329</xdr:rowOff>
    </xdr:to>
    <xdr:sp macro="" textlink="">
      <xdr:nvSpPr>
        <xdr:cNvPr id="9" name="Rectangle: Rounded Corners 8">
          <a:extLst>
            <a:ext uri="{FF2B5EF4-FFF2-40B4-BE49-F238E27FC236}">
              <a16:creationId xmlns:a16="http://schemas.microsoft.com/office/drawing/2014/main" id="{40AF7C38-0127-8133-BD1E-2217321360F0}"/>
            </a:ext>
          </a:extLst>
        </xdr:cNvPr>
        <xdr:cNvSpPr/>
      </xdr:nvSpPr>
      <xdr:spPr>
        <a:xfrm>
          <a:off x="143435" y="896470"/>
          <a:ext cx="2886636" cy="887506"/>
        </a:xfrm>
        <a:prstGeom prst="round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358589</xdr:colOff>
      <xdr:row>7</xdr:row>
      <xdr:rowOff>0</xdr:rowOff>
    </xdr:from>
    <xdr:to>
      <xdr:col>4</xdr:col>
      <xdr:colOff>582707</xdr:colOff>
      <xdr:row>9</xdr:row>
      <xdr:rowOff>80682</xdr:rowOff>
    </xdr:to>
    <xdr:sp macro="" textlink="">
      <xdr:nvSpPr>
        <xdr:cNvPr id="12" name="Rectangle: Rounded Corners 11">
          <a:extLst>
            <a:ext uri="{FF2B5EF4-FFF2-40B4-BE49-F238E27FC236}">
              <a16:creationId xmlns:a16="http://schemas.microsoft.com/office/drawing/2014/main" id="{1D8625CD-EEA1-2589-E568-43B3D64B582C}"/>
            </a:ext>
          </a:extLst>
        </xdr:cNvPr>
        <xdr:cNvSpPr/>
      </xdr:nvSpPr>
      <xdr:spPr>
        <a:xfrm>
          <a:off x="968189" y="1255059"/>
          <a:ext cx="2052918" cy="439270"/>
        </a:xfrm>
        <a:prstGeom prst="round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t>TOTAL EMPLOYEES</a:t>
          </a:r>
        </a:p>
      </xdr:txBody>
    </xdr:sp>
    <xdr:clientData/>
  </xdr:twoCellAnchor>
  <xdr:twoCellAnchor>
    <xdr:from>
      <xdr:col>1</xdr:col>
      <xdr:colOff>385481</xdr:colOff>
      <xdr:row>5</xdr:row>
      <xdr:rowOff>26894</xdr:rowOff>
    </xdr:from>
    <xdr:to>
      <xdr:col>3</xdr:col>
      <xdr:colOff>242046</xdr:colOff>
      <xdr:row>7</xdr:row>
      <xdr:rowOff>17929</xdr:rowOff>
    </xdr:to>
    <xdr:sp macro="" textlink="'PIVOT TABLES'!H6">
      <xdr:nvSpPr>
        <xdr:cNvPr id="14" name="TextBox 13">
          <a:extLst>
            <a:ext uri="{FF2B5EF4-FFF2-40B4-BE49-F238E27FC236}">
              <a16:creationId xmlns:a16="http://schemas.microsoft.com/office/drawing/2014/main" id="{D0C5431C-43B1-3629-794E-7C688B7B2C09}"/>
            </a:ext>
          </a:extLst>
        </xdr:cNvPr>
        <xdr:cNvSpPr txBox="1"/>
      </xdr:nvSpPr>
      <xdr:spPr>
        <a:xfrm>
          <a:off x="995081" y="923365"/>
          <a:ext cx="1075765" cy="349623"/>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5E8586F0-C596-4F9D-BBD8-C2DBA8D7A520}" type="TxLink">
            <a:rPr lang="en-US" sz="2000" b="0" i="0" u="none" strike="noStrike">
              <a:solidFill>
                <a:schemeClr val="bg1"/>
              </a:solidFill>
              <a:latin typeface="Calibri"/>
              <a:ea typeface="Calibri"/>
              <a:cs typeface="Calibri"/>
            </a:rPr>
            <a:pPr algn="l"/>
            <a:t>1470</a:t>
          </a:fld>
          <a:endParaRPr lang="en-US" sz="2000">
            <a:solidFill>
              <a:schemeClr val="bg1"/>
            </a:solidFill>
          </a:endParaRPr>
        </a:p>
      </xdr:txBody>
    </xdr:sp>
    <xdr:clientData/>
  </xdr:twoCellAnchor>
  <xdr:twoCellAnchor>
    <xdr:from>
      <xdr:col>5</xdr:col>
      <xdr:colOff>143435</xdr:colOff>
      <xdr:row>4</xdr:row>
      <xdr:rowOff>161365</xdr:rowOff>
    </xdr:from>
    <xdr:to>
      <xdr:col>9</xdr:col>
      <xdr:colOff>475128</xdr:colOff>
      <xdr:row>10</xdr:row>
      <xdr:rowOff>35859</xdr:rowOff>
    </xdr:to>
    <xdr:sp macro="" textlink="">
      <xdr:nvSpPr>
        <xdr:cNvPr id="24" name="Rectangle: Rounded Corners 23">
          <a:extLst>
            <a:ext uri="{FF2B5EF4-FFF2-40B4-BE49-F238E27FC236}">
              <a16:creationId xmlns:a16="http://schemas.microsoft.com/office/drawing/2014/main" id="{D08DD598-428D-5701-43EC-04266173B14A}"/>
            </a:ext>
          </a:extLst>
        </xdr:cNvPr>
        <xdr:cNvSpPr/>
      </xdr:nvSpPr>
      <xdr:spPr>
        <a:xfrm>
          <a:off x="3191435" y="878541"/>
          <a:ext cx="2770093" cy="950259"/>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5</xdr:col>
      <xdr:colOff>143435</xdr:colOff>
      <xdr:row>4</xdr:row>
      <xdr:rowOff>116541</xdr:rowOff>
    </xdr:from>
    <xdr:to>
      <xdr:col>6</xdr:col>
      <xdr:colOff>448235</xdr:colOff>
      <xdr:row>9</xdr:row>
      <xdr:rowOff>134470</xdr:rowOff>
    </xdr:to>
    <xdr:pic>
      <xdr:nvPicPr>
        <xdr:cNvPr id="26" name="Graphic 25" descr="User with solid fill">
          <a:extLst>
            <a:ext uri="{FF2B5EF4-FFF2-40B4-BE49-F238E27FC236}">
              <a16:creationId xmlns:a16="http://schemas.microsoft.com/office/drawing/2014/main" id="{C5CC3D94-526E-D7CD-D808-7226647778C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191435" y="833717"/>
          <a:ext cx="914400" cy="914400"/>
        </a:xfrm>
        <a:prstGeom prst="rect">
          <a:avLst/>
        </a:prstGeom>
      </xdr:spPr>
    </xdr:pic>
    <xdr:clientData/>
  </xdr:twoCellAnchor>
  <xdr:twoCellAnchor editAs="oneCell">
    <xdr:from>
      <xdr:col>0</xdr:col>
      <xdr:colOff>116542</xdr:colOff>
      <xdr:row>4</xdr:row>
      <xdr:rowOff>143436</xdr:rowOff>
    </xdr:from>
    <xdr:to>
      <xdr:col>1</xdr:col>
      <xdr:colOff>421342</xdr:colOff>
      <xdr:row>9</xdr:row>
      <xdr:rowOff>161365</xdr:rowOff>
    </xdr:to>
    <xdr:pic>
      <xdr:nvPicPr>
        <xdr:cNvPr id="28" name="Graphic 27" descr="Man and woman with solid fill">
          <a:extLst>
            <a:ext uri="{FF2B5EF4-FFF2-40B4-BE49-F238E27FC236}">
              <a16:creationId xmlns:a16="http://schemas.microsoft.com/office/drawing/2014/main" id="{47FE4A8E-CB4B-A7F9-2FCE-8A19AD903B7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16542" y="860612"/>
          <a:ext cx="914400" cy="914400"/>
        </a:xfrm>
        <a:prstGeom prst="rect">
          <a:avLst/>
        </a:prstGeom>
      </xdr:spPr>
    </xdr:pic>
    <xdr:clientData/>
  </xdr:twoCellAnchor>
  <xdr:twoCellAnchor>
    <xdr:from>
      <xdr:col>6</xdr:col>
      <xdr:colOff>493059</xdr:colOff>
      <xdr:row>7</xdr:row>
      <xdr:rowOff>17930</xdr:rowOff>
    </xdr:from>
    <xdr:to>
      <xdr:col>9</xdr:col>
      <xdr:colOff>277907</xdr:colOff>
      <xdr:row>9</xdr:row>
      <xdr:rowOff>26895</xdr:rowOff>
    </xdr:to>
    <xdr:sp macro="" textlink="">
      <xdr:nvSpPr>
        <xdr:cNvPr id="29" name="Rectangle: Rounded Corners 28">
          <a:extLst>
            <a:ext uri="{FF2B5EF4-FFF2-40B4-BE49-F238E27FC236}">
              <a16:creationId xmlns:a16="http://schemas.microsoft.com/office/drawing/2014/main" id="{889EFAEF-63D9-272A-F258-39408C82FF87}"/>
            </a:ext>
          </a:extLst>
        </xdr:cNvPr>
        <xdr:cNvSpPr/>
      </xdr:nvSpPr>
      <xdr:spPr>
        <a:xfrm>
          <a:off x="4150659" y="1272989"/>
          <a:ext cx="1613648" cy="367553"/>
        </a:xfrm>
        <a:prstGeom prst="round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t>TOTAL MALES</a:t>
          </a:r>
        </a:p>
      </xdr:txBody>
    </xdr:sp>
    <xdr:clientData/>
  </xdr:twoCellAnchor>
  <xdr:twoCellAnchor>
    <xdr:from>
      <xdr:col>6</xdr:col>
      <xdr:colOff>564776</xdr:colOff>
      <xdr:row>5</xdr:row>
      <xdr:rowOff>80681</xdr:rowOff>
    </xdr:from>
    <xdr:to>
      <xdr:col>8</xdr:col>
      <xdr:colOff>286871</xdr:colOff>
      <xdr:row>7</xdr:row>
      <xdr:rowOff>53788</xdr:rowOff>
    </xdr:to>
    <xdr:sp macro="" textlink="'PIVOT TABLES'!H5">
      <xdr:nvSpPr>
        <xdr:cNvPr id="30" name="Rectangle: Rounded Corners 29">
          <a:extLst>
            <a:ext uri="{FF2B5EF4-FFF2-40B4-BE49-F238E27FC236}">
              <a16:creationId xmlns:a16="http://schemas.microsoft.com/office/drawing/2014/main" id="{9C56490E-03E2-7978-297B-BE9A7D15BFBA}"/>
            </a:ext>
          </a:extLst>
        </xdr:cNvPr>
        <xdr:cNvSpPr/>
      </xdr:nvSpPr>
      <xdr:spPr>
        <a:xfrm>
          <a:off x="4222376" y="977152"/>
          <a:ext cx="941295" cy="331695"/>
        </a:xfrm>
        <a:prstGeom prst="round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C9D6B019-383A-47EC-B6F0-F079BF9E16E3}" type="TxLink">
            <a:rPr lang="en-US" sz="2000" b="0" i="0" u="none" strike="noStrike">
              <a:solidFill>
                <a:schemeClr val="bg1"/>
              </a:solidFill>
              <a:latin typeface="Calibri"/>
              <a:ea typeface="Calibri"/>
              <a:cs typeface="Calibri"/>
            </a:rPr>
            <a:pPr algn="l"/>
            <a:t>882</a:t>
          </a:fld>
          <a:endParaRPr lang="en-IN" sz="2000">
            <a:solidFill>
              <a:schemeClr val="bg1"/>
            </a:solidFill>
          </a:endParaRPr>
        </a:p>
      </xdr:txBody>
    </xdr:sp>
    <xdr:clientData/>
  </xdr:twoCellAnchor>
  <xdr:twoCellAnchor>
    <xdr:from>
      <xdr:col>10</xdr:col>
      <xdr:colOff>17928</xdr:colOff>
      <xdr:row>4</xdr:row>
      <xdr:rowOff>170329</xdr:rowOff>
    </xdr:from>
    <xdr:to>
      <xdr:col>14</xdr:col>
      <xdr:colOff>510988</xdr:colOff>
      <xdr:row>10</xdr:row>
      <xdr:rowOff>17930</xdr:rowOff>
    </xdr:to>
    <xdr:sp macro="" textlink="">
      <xdr:nvSpPr>
        <xdr:cNvPr id="31" name="Rectangle: Rounded Corners 30">
          <a:extLst>
            <a:ext uri="{FF2B5EF4-FFF2-40B4-BE49-F238E27FC236}">
              <a16:creationId xmlns:a16="http://schemas.microsoft.com/office/drawing/2014/main" id="{6B34A3BC-C5BB-949D-9EB3-87770A3847D2}"/>
            </a:ext>
          </a:extLst>
        </xdr:cNvPr>
        <xdr:cNvSpPr/>
      </xdr:nvSpPr>
      <xdr:spPr>
        <a:xfrm>
          <a:off x="6113928" y="887505"/>
          <a:ext cx="2931460" cy="923366"/>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10</xdr:col>
      <xdr:colOff>89647</xdr:colOff>
      <xdr:row>4</xdr:row>
      <xdr:rowOff>152401</xdr:rowOff>
    </xdr:from>
    <xdr:to>
      <xdr:col>11</xdr:col>
      <xdr:colOff>394447</xdr:colOff>
      <xdr:row>9</xdr:row>
      <xdr:rowOff>170330</xdr:rowOff>
    </xdr:to>
    <xdr:pic>
      <xdr:nvPicPr>
        <xdr:cNvPr id="33" name="Graphic 32" descr="Female Profile with solid fill">
          <a:extLst>
            <a:ext uri="{FF2B5EF4-FFF2-40B4-BE49-F238E27FC236}">
              <a16:creationId xmlns:a16="http://schemas.microsoft.com/office/drawing/2014/main" id="{03CABD3B-2329-F51F-5D90-D45A6FDDBED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185647" y="869577"/>
          <a:ext cx="914400" cy="914400"/>
        </a:xfrm>
        <a:prstGeom prst="rect">
          <a:avLst/>
        </a:prstGeom>
      </xdr:spPr>
    </xdr:pic>
    <xdr:clientData/>
  </xdr:twoCellAnchor>
  <xdr:twoCellAnchor>
    <xdr:from>
      <xdr:col>11</xdr:col>
      <xdr:colOff>466166</xdr:colOff>
      <xdr:row>7</xdr:row>
      <xdr:rowOff>125506</xdr:rowOff>
    </xdr:from>
    <xdr:to>
      <xdr:col>14</xdr:col>
      <xdr:colOff>412378</xdr:colOff>
      <xdr:row>9</xdr:row>
      <xdr:rowOff>8966</xdr:rowOff>
    </xdr:to>
    <xdr:sp macro="" textlink="">
      <xdr:nvSpPr>
        <xdr:cNvPr id="34" name="Rectangle: Rounded Corners 33">
          <a:extLst>
            <a:ext uri="{FF2B5EF4-FFF2-40B4-BE49-F238E27FC236}">
              <a16:creationId xmlns:a16="http://schemas.microsoft.com/office/drawing/2014/main" id="{1A1669A8-A4E4-E35C-F4CA-1CFEF6871148}"/>
            </a:ext>
          </a:extLst>
        </xdr:cNvPr>
        <xdr:cNvSpPr/>
      </xdr:nvSpPr>
      <xdr:spPr>
        <a:xfrm>
          <a:off x="7171766" y="1380565"/>
          <a:ext cx="1775012" cy="242048"/>
        </a:xfrm>
        <a:prstGeom prst="round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t>TOTAL FEMALES</a:t>
          </a:r>
        </a:p>
      </xdr:txBody>
    </xdr:sp>
    <xdr:clientData/>
  </xdr:twoCellAnchor>
  <xdr:twoCellAnchor>
    <xdr:from>
      <xdr:col>11</xdr:col>
      <xdr:colOff>537883</xdr:colOff>
      <xdr:row>5</xdr:row>
      <xdr:rowOff>71718</xdr:rowOff>
    </xdr:from>
    <xdr:to>
      <xdr:col>14</xdr:col>
      <xdr:colOff>358589</xdr:colOff>
      <xdr:row>7</xdr:row>
      <xdr:rowOff>107577</xdr:rowOff>
    </xdr:to>
    <xdr:sp macro="" textlink="'PIVOT TABLES'!H4">
      <xdr:nvSpPr>
        <xdr:cNvPr id="35" name="TextBox 34">
          <a:extLst>
            <a:ext uri="{FF2B5EF4-FFF2-40B4-BE49-F238E27FC236}">
              <a16:creationId xmlns:a16="http://schemas.microsoft.com/office/drawing/2014/main" id="{ABED573E-825F-EE33-3079-3E98575EEA44}"/>
            </a:ext>
          </a:extLst>
        </xdr:cNvPr>
        <xdr:cNvSpPr txBox="1"/>
      </xdr:nvSpPr>
      <xdr:spPr>
        <a:xfrm>
          <a:off x="7243483" y="968189"/>
          <a:ext cx="1649506" cy="394447"/>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057D8EB-9D31-41A7-B406-23559678013F}" type="TxLink">
            <a:rPr lang="en-US" sz="2000" b="0" i="0" u="none" strike="noStrike">
              <a:solidFill>
                <a:schemeClr val="bg1"/>
              </a:solidFill>
              <a:latin typeface="Calibri"/>
              <a:ea typeface="Calibri"/>
              <a:cs typeface="Calibri"/>
            </a:rPr>
            <a:pPr/>
            <a:t>588</a:t>
          </a:fld>
          <a:endParaRPr lang="en-IN" sz="2000">
            <a:solidFill>
              <a:schemeClr val="bg1"/>
            </a:solidFill>
          </a:endParaRPr>
        </a:p>
      </xdr:txBody>
    </xdr:sp>
    <xdr:clientData/>
  </xdr:twoCellAnchor>
  <xdr:twoCellAnchor editAs="oneCell">
    <xdr:from>
      <xdr:col>18</xdr:col>
      <xdr:colOff>439270</xdr:colOff>
      <xdr:row>4</xdr:row>
      <xdr:rowOff>116542</xdr:rowOff>
    </xdr:from>
    <xdr:to>
      <xdr:col>21</xdr:col>
      <xdr:colOff>439270</xdr:colOff>
      <xdr:row>9</xdr:row>
      <xdr:rowOff>125507</xdr:rowOff>
    </xdr:to>
    <mc:AlternateContent xmlns:mc="http://schemas.openxmlformats.org/markup-compatibility/2006" xmlns:a14="http://schemas.microsoft.com/office/drawing/2010/main">
      <mc:Choice Requires="a14">
        <xdr:graphicFrame macro="">
          <xdr:nvGraphicFramePr>
            <xdr:cNvPr id="36" name="Gender">
              <a:extLst>
                <a:ext uri="{FF2B5EF4-FFF2-40B4-BE49-F238E27FC236}">
                  <a16:creationId xmlns:a16="http://schemas.microsoft.com/office/drawing/2014/main" id="{2A8D5594-0A9C-4788-94E5-AA4CFD22C00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1412070" y="833718"/>
              <a:ext cx="1828800" cy="9054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215154</xdr:colOff>
      <xdr:row>11</xdr:row>
      <xdr:rowOff>8965</xdr:rowOff>
    </xdr:from>
    <xdr:to>
      <xdr:col>21</xdr:col>
      <xdr:colOff>394447</xdr:colOff>
      <xdr:row>11</xdr:row>
      <xdr:rowOff>26893</xdr:rowOff>
    </xdr:to>
    <xdr:cxnSp macro="">
      <xdr:nvCxnSpPr>
        <xdr:cNvPr id="38" name="Straight Connector 37">
          <a:extLst>
            <a:ext uri="{FF2B5EF4-FFF2-40B4-BE49-F238E27FC236}">
              <a16:creationId xmlns:a16="http://schemas.microsoft.com/office/drawing/2014/main" id="{1837D227-2C85-D688-1BC7-46F0DD13C6B6}"/>
            </a:ext>
          </a:extLst>
        </xdr:cNvPr>
        <xdr:cNvCxnSpPr/>
      </xdr:nvCxnSpPr>
      <xdr:spPr>
        <a:xfrm flipV="1">
          <a:off x="215154" y="1981200"/>
          <a:ext cx="12980893" cy="17928"/>
        </a:xfrm>
        <a:prstGeom prst="line">
          <a:avLst/>
        </a:prstGeom>
      </xdr:spPr>
      <xdr:style>
        <a:lnRef idx="1">
          <a:schemeClr val="accent2"/>
        </a:lnRef>
        <a:fillRef idx="0">
          <a:schemeClr val="accent2"/>
        </a:fillRef>
        <a:effectRef idx="0">
          <a:schemeClr val="accent2"/>
        </a:effectRef>
        <a:fontRef idx="minor">
          <a:schemeClr val="tx1"/>
        </a:fontRef>
      </xdr:style>
    </xdr:cxnSp>
    <xdr:clientData/>
  </xdr:twoCellAnchor>
  <xdr:twoCellAnchor>
    <xdr:from>
      <xdr:col>14</xdr:col>
      <xdr:colOff>582706</xdr:colOff>
      <xdr:row>5</xdr:row>
      <xdr:rowOff>17929</xdr:rowOff>
    </xdr:from>
    <xdr:to>
      <xdr:col>18</xdr:col>
      <xdr:colOff>367554</xdr:colOff>
      <xdr:row>9</xdr:row>
      <xdr:rowOff>161364</xdr:rowOff>
    </xdr:to>
    <xdr:sp macro="" textlink="">
      <xdr:nvSpPr>
        <xdr:cNvPr id="41" name="Rectangle: Rounded Corners 40">
          <a:extLst>
            <a:ext uri="{FF2B5EF4-FFF2-40B4-BE49-F238E27FC236}">
              <a16:creationId xmlns:a16="http://schemas.microsoft.com/office/drawing/2014/main" id="{1F5F9F6F-3A51-13D1-F9E6-5EA2068DA4A4}"/>
            </a:ext>
          </a:extLst>
        </xdr:cNvPr>
        <xdr:cNvSpPr/>
      </xdr:nvSpPr>
      <xdr:spPr>
        <a:xfrm>
          <a:off x="9117106" y="914400"/>
          <a:ext cx="2223248" cy="860611"/>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000"/>
            <a:t>ATTRITION</a:t>
          </a:r>
          <a:r>
            <a:rPr lang="en-IN" sz="2000" baseline="0"/>
            <a:t> </a:t>
          </a:r>
          <a:r>
            <a:rPr lang="en-IN" sz="2000"/>
            <a:t>RATE </a:t>
          </a:r>
        </a:p>
        <a:p>
          <a:pPr algn="l"/>
          <a:endParaRPr lang="en-IN" sz="2000"/>
        </a:p>
      </xdr:txBody>
    </xdr:sp>
    <xdr:clientData/>
  </xdr:twoCellAnchor>
  <xdr:twoCellAnchor>
    <xdr:from>
      <xdr:col>15</xdr:col>
      <xdr:colOff>609599</xdr:colOff>
      <xdr:row>7</xdr:row>
      <xdr:rowOff>98611</xdr:rowOff>
    </xdr:from>
    <xdr:to>
      <xdr:col>17</xdr:col>
      <xdr:colOff>367552</xdr:colOff>
      <xdr:row>9</xdr:row>
      <xdr:rowOff>62752</xdr:rowOff>
    </xdr:to>
    <xdr:sp macro="" textlink="'PIVOT TABLES'!M17">
      <xdr:nvSpPr>
        <xdr:cNvPr id="42" name="TextBox 41">
          <a:extLst>
            <a:ext uri="{FF2B5EF4-FFF2-40B4-BE49-F238E27FC236}">
              <a16:creationId xmlns:a16="http://schemas.microsoft.com/office/drawing/2014/main" id="{D62A7381-0B28-9727-146C-B9C2CA1CCFB6}"/>
            </a:ext>
          </a:extLst>
        </xdr:cNvPr>
        <xdr:cNvSpPr txBox="1"/>
      </xdr:nvSpPr>
      <xdr:spPr>
        <a:xfrm>
          <a:off x="9753599" y="1353670"/>
          <a:ext cx="977153" cy="322729"/>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741F8A3-6439-4922-AF0A-81652362B080}" type="TxLink">
            <a:rPr lang="en-US" sz="1800" b="0" i="0" u="none" strike="noStrike">
              <a:solidFill>
                <a:schemeClr val="bg1"/>
              </a:solidFill>
              <a:latin typeface="Calibri"/>
              <a:ea typeface="Calibri"/>
              <a:cs typeface="Calibri"/>
            </a:rPr>
            <a:pPr/>
            <a:t>16.12%</a:t>
          </a:fld>
          <a:endParaRPr lang="en-IN" sz="1800">
            <a:solidFill>
              <a:schemeClr val="bg1"/>
            </a:solidFill>
          </a:endParaRPr>
        </a:p>
      </xdr:txBody>
    </xdr:sp>
    <xdr:clientData/>
  </xdr:twoCellAnchor>
  <xdr:twoCellAnchor>
    <xdr:from>
      <xdr:col>0</xdr:col>
      <xdr:colOff>89648</xdr:colOff>
      <xdr:row>11</xdr:row>
      <xdr:rowOff>125505</xdr:rowOff>
    </xdr:from>
    <xdr:to>
      <xdr:col>7</xdr:col>
      <xdr:colOff>484095</xdr:colOff>
      <xdr:row>26</xdr:row>
      <xdr:rowOff>62752</xdr:rowOff>
    </xdr:to>
    <xdr:sp macro="" textlink="">
      <xdr:nvSpPr>
        <xdr:cNvPr id="45" name="Rectangle: Rounded Corners 44">
          <a:extLst>
            <a:ext uri="{FF2B5EF4-FFF2-40B4-BE49-F238E27FC236}">
              <a16:creationId xmlns:a16="http://schemas.microsoft.com/office/drawing/2014/main" id="{ACBBF1E8-F5DE-C5A3-5400-10630CA4613C}"/>
            </a:ext>
          </a:extLst>
        </xdr:cNvPr>
        <xdr:cNvSpPr/>
      </xdr:nvSpPr>
      <xdr:spPr>
        <a:xfrm>
          <a:off x="89648" y="2097740"/>
          <a:ext cx="4661647" cy="2626659"/>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286870</xdr:colOff>
      <xdr:row>12</xdr:row>
      <xdr:rowOff>98612</xdr:rowOff>
    </xdr:from>
    <xdr:to>
      <xdr:col>6</xdr:col>
      <xdr:colOff>528917</xdr:colOff>
      <xdr:row>25</xdr:row>
      <xdr:rowOff>125507</xdr:rowOff>
    </xdr:to>
    <xdr:graphicFrame macro="">
      <xdr:nvGraphicFramePr>
        <xdr:cNvPr id="46" name="Chart 45">
          <a:extLst>
            <a:ext uri="{FF2B5EF4-FFF2-40B4-BE49-F238E27FC236}">
              <a16:creationId xmlns:a16="http://schemas.microsoft.com/office/drawing/2014/main" id="{20F04312-9F8A-49FD-8E1F-E3EEC0E3C6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600636</xdr:colOff>
      <xdr:row>11</xdr:row>
      <xdr:rowOff>125507</xdr:rowOff>
    </xdr:from>
    <xdr:to>
      <xdr:col>17</xdr:col>
      <xdr:colOff>0</xdr:colOff>
      <xdr:row>26</xdr:row>
      <xdr:rowOff>71719</xdr:rowOff>
    </xdr:to>
    <xdr:sp macro="" textlink="">
      <xdr:nvSpPr>
        <xdr:cNvPr id="48" name="Rectangle: Rounded Corners 47">
          <a:extLst>
            <a:ext uri="{FF2B5EF4-FFF2-40B4-BE49-F238E27FC236}">
              <a16:creationId xmlns:a16="http://schemas.microsoft.com/office/drawing/2014/main" id="{10310226-3544-63A3-12AC-3231FA6A39A6}"/>
            </a:ext>
          </a:extLst>
        </xdr:cNvPr>
        <xdr:cNvSpPr/>
      </xdr:nvSpPr>
      <xdr:spPr>
        <a:xfrm>
          <a:off x="4867836" y="2097742"/>
          <a:ext cx="5495364" cy="2635624"/>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322729</xdr:colOff>
      <xdr:row>12</xdr:row>
      <xdr:rowOff>71719</xdr:rowOff>
    </xdr:from>
    <xdr:to>
      <xdr:col>16</xdr:col>
      <xdr:colOff>71718</xdr:colOff>
      <xdr:row>25</xdr:row>
      <xdr:rowOff>152401</xdr:rowOff>
    </xdr:to>
    <xdr:graphicFrame macro="">
      <xdr:nvGraphicFramePr>
        <xdr:cNvPr id="49" name="Chart 48">
          <a:extLst>
            <a:ext uri="{FF2B5EF4-FFF2-40B4-BE49-F238E27FC236}">
              <a16:creationId xmlns:a16="http://schemas.microsoft.com/office/drawing/2014/main" id="{3DDD48C2-C818-43A7-BD74-85B6ACB75C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122518</xdr:colOff>
      <xdr:row>11</xdr:row>
      <xdr:rowOff>114301</xdr:rowOff>
    </xdr:from>
    <xdr:to>
      <xdr:col>21</xdr:col>
      <xdr:colOff>525929</xdr:colOff>
      <xdr:row>26</xdr:row>
      <xdr:rowOff>33618</xdr:rowOff>
    </xdr:to>
    <xdr:sp macro="" textlink="">
      <xdr:nvSpPr>
        <xdr:cNvPr id="50" name="Oval 49">
          <a:extLst>
            <a:ext uri="{FF2B5EF4-FFF2-40B4-BE49-F238E27FC236}">
              <a16:creationId xmlns:a16="http://schemas.microsoft.com/office/drawing/2014/main" id="{9B686DCB-DFB3-2F49-F9ED-320B3783D0AB}"/>
            </a:ext>
          </a:extLst>
        </xdr:cNvPr>
        <xdr:cNvSpPr/>
      </xdr:nvSpPr>
      <xdr:spPr>
        <a:xfrm>
          <a:off x="10485718" y="2070101"/>
          <a:ext cx="2841811" cy="2586317"/>
        </a:xfrm>
        <a:prstGeom prst="ellipse">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528917</xdr:colOff>
      <xdr:row>14</xdr:row>
      <xdr:rowOff>8965</xdr:rowOff>
    </xdr:from>
    <xdr:to>
      <xdr:col>20</xdr:col>
      <xdr:colOff>591670</xdr:colOff>
      <xdr:row>23</xdr:row>
      <xdr:rowOff>170330</xdr:rowOff>
    </xdr:to>
    <xdr:graphicFrame macro="">
      <xdr:nvGraphicFramePr>
        <xdr:cNvPr id="51" name="Chart 50">
          <a:extLst>
            <a:ext uri="{FF2B5EF4-FFF2-40B4-BE49-F238E27FC236}">
              <a16:creationId xmlns:a16="http://schemas.microsoft.com/office/drawing/2014/main" id="{31D2D47A-1848-4450-9CB4-6B2E26ACEB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62753</xdr:colOff>
      <xdr:row>27</xdr:row>
      <xdr:rowOff>17929</xdr:rowOff>
    </xdr:from>
    <xdr:to>
      <xdr:col>7</xdr:col>
      <xdr:colOff>546847</xdr:colOff>
      <xdr:row>43</xdr:row>
      <xdr:rowOff>17929</xdr:rowOff>
    </xdr:to>
    <xdr:sp macro="" textlink="">
      <xdr:nvSpPr>
        <xdr:cNvPr id="3" name="Rectangle: Rounded Corners 2">
          <a:extLst>
            <a:ext uri="{FF2B5EF4-FFF2-40B4-BE49-F238E27FC236}">
              <a16:creationId xmlns:a16="http://schemas.microsoft.com/office/drawing/2014/main" id="{04D2266D-67F3-73E4-63A3-58090E2097E0}"/>
            </a:ext>
          </a:extLst>
        </xdr:cNvPr>
        <xdr:cNvSpPr/>
      </xdr:nvSpPr>
      <xdr:spPr>
        <a:xfrm>
          <a:off x="62753" y="4858870"/>
          <a:ext cx="4751294" cy="2868706"/>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313765</xdr:colOff>
      <xdr:row>28</xdr:row>
      <xdr:rowOff>53789</xdr:rowOff>
    </xdr:from>
    <xdr:to>
      <xdr:col>7</xdr:col>
      <xdr:colOff>367553</xdr:colOff>
      <xdr:row>42</xdr:row>
      <xdr:rowOff>71717</xdr:rowOff>
    </xdr:to>
    <xdr:graphicFrame macro="">
      <xdr:nvGraphicFramePr>
        <xdr:cNvPr id="5" name="Chart 4">
          <a:extLst>
            <a:ext uri="{FF2B5EF4-FFF2-40B4-BE49-F238E27FC236}">
              <a16:creationId xmlns:a16="http://schemas.microsoft.com/office/drawing/2014/main" id="{4D5612F0-B184-4F21-9628-721CF8524F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578557</xdr:colOff>
      <xdr:row>26</xdr:row>
      <xdr:rowOff>112888</xdr:rowOff>
    </xdr:from>
    <xdr:to>
      <xdr:col>17</xdr:col>
      <xdr:colOff>127001</xdr:colOff>
      <xdr:row>43</xdr:row>
      <xdr:rowOff>141111</xdr:rowOff>
    </xdr:to>
    <xdr:sp macro="" textlink="">
      <xdr:nvSpPr>
        <xdr:cNvPr id="6" name="Rectangle: Rounded Corners 5">
          <a:extLst>
            <a:ext uri="{FF2B5EF4-FFF2-40B4-BE49-F238E27FC236}">
              <a16:creationId xmlns:a16="http://schemas.microsoft.com/office/drawing/2014/main" id="{A9797D2C-D0CF-7A95-54A9-D5DDF9FE7436}"/>
            </a:ext>
          </a:extLst>
        </xdr:cNvPr>
        <xdr:cNvSpPr/>
      </xdr:nvSpPr>
      <xdr:spPr>
        <a:xfrm>
          <a:off x="4845757" y="4735688"/>
          <a:ext cx="5644444" cy="3050823"/>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169333</xdr:colOff>
      <xdr:row>27</xdr:row>
      <xdr:rowOff>155222</xdr:rowOff>
    </xdr:from>
    <xdr:to>
      <xdr:col>17</xdr:col>
      <xdr:colOff>61783</xdr:colOff>
      <xdr:row>42</xdr:row>
      <xdr:rowOff>19755</xdr:rowOff>
    </xdr:to>
    <xdr:graphicFrame macro="">
      <xdr:nvGraphicFramePr>
        <xdr:cNvPr id="7" name="Chart 6">
          <a:extLst>
            <a:ext uri="{FF2B5EF4-FFF2-40B4-BE49-F238E27FC236}">
              <a16:creationId xmlns:a16="http://schemas.microsoft.com/office/drawing/2014/main" id="{34C08EB7-1A93-42B9-8C64-39ECD61738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17</xdr:col>
      <xdr:colOff>230317</xdr:colOff>
      <xdr:row>26</xdr:row>
      <xdr:rowOff>169917</xdr:rowOff>
    </xdr:from>
    <xdr:to>
      <xdr:col>22</xdr:col>
      <xdr:colOff>271505</xdr:colOff>
      <xdr:row>43</xdr:row>
      <xdr:rowOff>76887</xdr:rowOff>
    </xdr:to>
    <xdr:sp macro="" textlink="">
      <xdr:nvSpPr>
        <xdr:cNvPr id="11" name="Rectangle: Rounded Corners 10">
          <a:extLst>
            <a:ext uri="{FF2B5EF4-FFF2-40B4-BE49-F238E27FC236}">
              <a16:creationId xmlns:a16="http://schemas.microsoft.com/office/drawing/2014/main" id="{A263D568-43E3-0BA2-78F2-955EA326D11A}"/>
            </a:ext>
          </a:extLst>
        </xdr:cNvPr>
        <xdr:cNvSpPr/>
      </xdr:nvSpPr>
      <xdr:spPr>
        <a:xfrm>
          <a:off x="10593517" y="4792717"/>
          <a:ext cx="3089188" cy="2929570"/>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463379</xdr:colOff>
      <xdr:row>28</xdr:row>
      <xdr:rowOff>133866</xdr:rowOff>
    </xdr:from>
    <xdr:to>
      <xdr:col>22</xdr:col>
      <xdr:colOff>205946</xdr:colOff>
      <xdr:row>41</xdr:row>
      <xdr:rowOff>82380</xdr:rowOff>
    </xdr:to>
    <xdr:graphicFrame macro="">
      <xdr:nvGraphicFramePr>
        <xdr:cNvPr id="13" name="Chart 12">
          <a:extLst>
            <a:ext uri="{FF2B5EF4-FFF2-40B4-BE49-F238E27FC236}">
              <a16:creationId xmlns:a16="http://schemas.microsoft.com/office/drawing/2014/main" id="{5781AA26-DE04-40A4-9DF9-B39E5EEB7B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300790</xdr:colOff>
      <xdr:row>0</xdr:row>
      <xdr:rowOff>40105</xdr:rowOff>
    </xdr:from>
    <xdr:to>
      <xdr:col>11</xdr:col>
      <xdr:colOff>571500</xdr:colOff>
      <xdr:row>3</xdr:row>
      <xdr:rowOff>60159</xdr:rowOff>
    </xdr:to>
    <xdr:sp macro="" textlink="">
      <xdr:nvSpPr>
        <xdr:cNvPr id="15" name="Rectangle: Rounded Corners 14">
          <a:extLst>
            <a:ext uri="{FF2B5EF4-FFF2-40B4-BE49-F238E27FC236}">
              <a16:creationId xmlns:a16="http://schemas.microsoft.com/office/drawing/2014/main" id="{0CCEDA5F-778E-932F-81EC-9AC9CE409168}"/>
            </a:ext>
          </a:extLst>
        </xdr:cNvPr>
        <xdr:cNvSpPr/>
      </xdr:nvSpPr>
      <xdr:spPr>
        <a:xfrm>
          <a:off x="5193632" y="40105"/>
          <a:ext cx="2105526" cy="561475"/>
        </a:xfrm>
        <a:prstGeom prst="round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800"/>
            <a:t>OVERTIME =</a:t>
          </a:r>
        </a:p>
      </xdr:txBody>
    </xdr:sp>
    <xdr:clientData/>
  </xdr:twoCellAnchor>
  <xdr:twoCellAnchor>
    <xdr:from>
      <xdr:col>10</xdr:col>
      <xdr:colOff>391027</xdr:colOff>
      <xdr:row>0</xdr:row>
      <xdr:rowOff>130342</xdr:rowOff>
    </xdr:from>
    <xdr:to>
      <xdr:col>11</xdr:col>
      <xdr:colOff>431132</xdr:colOff>
      <xdr:row>3</xdr:row>
      <xdr:rowOff>0</xdr:rowOff>
    </xdr:to>
    <xdr:sp macro="" textlink="'PIVOT TABLES'!F45">
      <xdr:nvSpPr>
        <xdr:cNvPr id="16" name="TextBox 15">
          <a:extLst>
            <a:ext uri="{FF2B5EF4-FFF2-40B4-BE49-F238E27FC236}">
              <a16:creationId xmlns:a16="http://schemas.microsoft.com/office/drawing/2014/main" id="{25F20366-0BA9-0185-95FD-19D29CFB96F5}"/>
            </a:ext>
          </a:extLst>
        </xdr:cNvPr>
        <xdr:cNvSpPr txBox="1"/>
      </xdr:nvSpPr>
      <xdr:spPr>
        <a:xfrm>
          <a:off x="6507080" y="130342"/>
          <a:ext cx="651710" cy="411079"/>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F300967D-179F-4A1F-80D5-09AAE8029006}" type="TxLink">
            <a:rPr lang="en-US" sz="2000" b="0" i="0" u="none" strike="noStrike">
              <a:solidFill>
                <a:schemeClr val="bg1"/>
              </a:solidFill>
              <a:latin typeface="Calibri"/>
              <a:ea typeface="Calibri"/>
              <a:cs typeface="Calibri"/>
            </a:rPr>
            <a:pPr algn="l"/>
            <a:t>416</a:t>
          </a:fld>
          <a:endParaRPr lang="en-IN" sz="2000">
            <a:solidFill>
              <a:schemeClr val="bg1"/>
            </a:solidFill>
          </a:endParaRPr>
        </a:p>
      </xdr:txBody>
    </xdr:sp>
    <xdr:clientData/>
  </xdr:twoCellAnchor>
  <xdr:twoCellAnchor>
    <xdr:from>
      <xdr:col>12</xdr:col>
      <xdr:colOff>170448</xdr:colOff>
      <xdr:row>0</xdr:row>
      <xdr:rowOff>40105</xdr:rowOff>
    </xdr:from>
    <xdr:to>
      <xdr:col>16</xdr:col>
      <xdr:colOff>541421</xdr:colOff>
      <xdr:row>3</xdr:row>
      <xdr:rowOff>70183</xdr:rowOff>
    </xdr:to>
    <xdr:sp macro="" textlink="">
      <xdr:nvSpPr>
        <xdr:cNvPr id="17" name="Rectangle: Rounded Corners 16">
          <a:extLst>
            <a:ext uri="{FF2B5EF4-FFF2-40B4-BE49-F238E27FC236}">
              <a16:creationId xmlns:a16="http://schemas.microsoft.com/office/drawing/2014/main" id="{A9BD8073-30F5-8553-8FB9-D2B158DBB475}"/>
            </a:ext>
          </a:extLst>
        </xdr:cNvPr>
        <xdr:cNvSpPr/>
      </xdr:nvSpPr>
      <xdr:spPr>
        <a:xfrm>
          <a:off x="7509711" y="40105"/>
          <a:ext cx="2817394" cy="571499"/>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000"/>
            <a:t>EMPLOYESS LEFT = </a:t>
          </a:r>
        </a:p>
      </xdr:txBody>
    </xdr:sp>
    <xdr:clientData/>
  </xdr:twoCellAnchor>
  <xdr:twoCellAnchor>
    <xdr:from>
      <xdr:col>15</xdr:col>
      <xdr:colOff>451184</xdr:colOff>
      <xdr:row>0</xdr:row>
      <xdr:rowOff>110289</xdr:rowOff>
    </xdr:from>
    <xdr:to>
      <xdr:col>16</xdr:col>
      <xdr:colOff>481263</xdr:colOff>
      <xdr:row>2</xdr:row>
      <xdr:rowOff>160421</xdr:rowOff>
    </xdr:to>
    <xdr:sp macro="" textlink="'PIVOT TABLES'!K42">
      <xdr:nvSpPr>
        <xdr:cNvPr id="19" name="TextBox 18">
          <a:extLst>
            <a:ext uri="{FF2B5EF4-FFF2-40B4-BE49-F238E27FC236}">
              <a16:creationId xmlns:a16="http://schemas.microsoft.com/office/drawing/2014/main" id="{418E5570-D266-B882-CBB9-DBFCE592CE5A}"/>
            </a:ext>
          </a:extLst>
        </xdr:cNvPr>
        <xdr:cNvSpPr txBox="1"/>
      </xdr:nvSpPr>
      <xdr:spPr>
        <a:xfrm>
          <a:off x="9625263" y="110289"/>
          <a:ext cx="641684" cy="411079"/>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8975016-FA7E-49E3-8715-9BA1751CA742}" type="TxLink">
            <a:rPr lang="en-US" sz="2000" b="0" i="0" u="none" strike="noStrike">
              <a:solidFill>
                <a:schemeClr val="bg1"/>
              </a:solidFill>
              <a:latin typeface="Calibri"/>
              <a:ea typeface="Calibri"/>
              <a:cs typeface="Calibri"/>
            </a:rPr>
            <a:pPr/>
            <a:t>237</a:t>
          </a:fld>
          <a:endParaRPr lang="en-IN" sz="2000">
            <a:solidFill>
              <a:schemeClr val="bg1"/>
            </a:solidFill>
          </a:endParaRPr>
        </a:p>
      </xdr:txBody>
    </xdr:sp>
    <xdr:clientData/>
  </xdr:twoCellAnchor>
  <xdr:twoCellAnchor>
    <xdr:from>
      <xdr:col>17</xdr:col>
      <xdr:colOff>170448</xdr:colOff>
      <xdr:row>0</xdr:row>
      <xdr:rowOff>60158</xdr:rowOff>
    </xdr:from>
    <xdr:to>
      <xdr:col>21</xdr:col>
      <xdr:colOff>190500</xdr:colOff>
      <xdr:row>3</xdr:row>
      <xdr:rowOff>60158</xdr:rowOff>
    </xdr:to>
    <xdr:sp macro="" textlink="">
      <xdr:nvSpPr>
        <xdr:cNvPr id="8" name="Rectangle: Rounded Corners 7">
          <a:extLst>
            <a:ext uri="{FF2B5EF4-FFF2-40B4-BE49-F238E27FC236}">
              <a16:creationId xmlns:a16="http://schemas.microsoft.com/office/drawing/2014/main" id="{36FFBA03-E738-BB5A-A56C-6C10FCC0A9E7}"/>
            </a:ext>
          </a:extLst>
        </xdr:cNvPr>
        <xdr:cNvSpPr/>
      </xdr:nvSpPr>
      <xdr:spPr>
        <a:xfrm>
          <a:off x="10567737" y="60158"/>
          <a:ext cx="2466474" cy="541421"/>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000"/>
            <a:t>AVG</a:t>
          </a:r>
          <a:r>
            <a:rPr lang="en-IN" sz="2000" baseline="0"/>
            <a:t> SALARY = </a:t>
          </a:r>
          <a:endParaRPr lang="en-IN" sz="2000"/>
        </a:p>
      </xdr:txBody>
    </xdr:sp>
    <xdr:clientData/>
  </xdr:twoCellAnchor>
  <xdr:twoCellAnchor>
    <xdr:from>
      <xdr:col>19</xdr:col>
      <xdr:colOff>551447</xdr:colOff>
      <xdr:row>0</xdr:row>
      <xdr:rowOff>130341</xdr:rowOff>
    </xdr:from>
    <xdr:to>
      <xdr:col>21</xdr:col>
      <xdr:colOff>50131</xdr:colOff>
      <xdr:row>2</xdr:row>
      <xdr:rowOff>170447</xdr:rowOff>
    </xdr:to>
    <xdr:sp macro="" textlink="'PIVOT TABLES'!K51">
      <xdr:nvSpPr>
        <xdr:cNvPr id="10" name="TextBox 9">
          <a:extLst>
            <a:ext uri="{FF2B5EF4-FFF2-40B4-BE49-F238E27FC236}">
              <a16:creationId xmlns:a16="http://schemas.microsoft.com/office/drawing/2014/main" id="{1817507E-3758-A5B4-DAFF-CEB39120126B}"/>
            </a:ext>
          </a:extLst>
        </xdr:cNvPr>
        <xdr:cNvSpPr txBox="1"/>
      </xdr:nvSpPr>
      <xdr:spPr>
        <a:xfrm>
          <a:off x="12171947" y="130341"/>
          <a:ext cx="721895" cy="401053"/>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99CA705-670D-45FD-BA3C-480CFECD248B}" type="TxLink">
            <a:rPr lang="en-US" sz="2000" b="0" i="0" u="none" strike="noStrike">
              <a:solidFill>
                <a:schemeClr val="bg1"/>
              </a:solidFill>
              <a:latin typeface="Calibri"/>
              <a:ea typeface="Calibri"/>
              <a:cs typeface="Calibri"/>
            </a:rPr>
            <a:pPr/>
            <a:t>6.5K</a:t>
          </a:fld>
          <a:endParaRPr lang="en-IN" sz="2000">
            <a:solidFill>
              <a:schemeClr val="bg1"/>
            </a:solidFill>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Sekhar Rachaneni" refreshedDate="46144.401580439815" backgroundQuery="1" createdVersion="8" refreshedVersion="8" minRefreshableVersion="3" recordCount="0" supportSubquery="1" supportAdvancedDrill="1" xr:uid="{CBCE9E5F-9BF9-46B6-B658-349F23DE2BBE}">
  <cacheSource type="external" connectionId="2"/>
  <cacheFields count="2">
    <cacheField name="[HR].[Gender].[Gender]" caption="Gender" numFmtId="0" hierarchy="7" level="1">
      <sharedItems count="2">
        <s v="Female"/>
        <s v="Male"/>
      </sharedItems>
    </cacheField>
    <cacheField name="[Measures].[Count of Age]" caption="Count of Age" numFmtId="0" hierarchy="23" level="32767"/>
  </cacheFields>
  <cacheHierarchies count="36">
    <cacheHierarchy uniqueName="[HR].[Age]" caption="Age" attribute="1" defaultMemberUniqueName="[HR].[Age].[All]" allUniqueName="[HR].[Age].[All]" dimensionUniqueName="[HR]" displayFolder="" count="0" memberValueDatatype="20" unbalanced="0"/>
    <cacheHierarchy uniqueName="[HR].[Attrition]" caption="Attrition" attribute="1" defaultMemberUniqueName="[HR].[Attrition].[All]" allUniqueName="[HR].[Attrition].[All]" dimensionUniqueName="[HR]" displayFolder="" count="0" memberValueDatatype="130" unbalanced="0"/>
    <cacheHierarchy uniqueName="[HR].[BusinessTravel]" caption="BusinessTravel" attribute="1" defaultMemberUniqueName="[HR].[BusinessTravel].[All]" allUniqueName="[HR].[BusinessTravel].[All]" dimensionUniqueName="[HR]" displayFolder="" count="0" memberValueDatatype="130" unbalanced="0"/>
    <cacheHierarchy uniqueName="[HR].[Department]" caption="Department" attribute="1" defaultMemberUniqueName="[HR].[Department].[All]" allUniqueName="[HR].[Department].[All]" dimensionUniqueName="[HR]" displayFolder="" count="0" memberValueDatatype="130" unbalanced="0"/>
    <cacheHierarchy uniqueName="[HR].[Education]" caption="Education" attribute="1" defaultMemberUniqueName="[HR].[Education].[All]" allUniqueName="[HR].[Education].[All]" dimensionUniqueName="[HR]" displayFolder="" count="0" memberValueDatatype="20" unbalanced="0"/>
    <cacheHierarchy uniqueName="[HR].[EducationField]" caption="EducationField" attribute="1" defaultMemberUniqueName="[HR].[EducationField].[All]" allUniqueName="[HR].[EducationField].[All]" dimensionUniqueName="[HR]" displayFolder="" count="0" memberValueDatatype="130" unbalanced="0"/>
    <cacheHierarchy uniqueName="[HR].[EnvironmentSatisfaction]" caption="EnvironmentSatisfaction" attribute="1" defaultMemberUniqueName="[HR].[EnvironmentSatisfaction].[All]" allUniqueName="[HR].[EnvironmentSatisfaction].[All]" dimensionUniqueName="[HR]" displayFolder="" count="0" memberValueDatatype="20" unbalanced="0"/>
    <cacheHierarchy uniqueName="[HR].[Gender]" caption="Gender" attribute="1" defaultMemberUniqueName="[HR].[Gender].[All]" allUniqueName="[HR].[Gender].[All]" dimensionUniqueName="[HR]" displayFolder="" count="2" memberValueDatatype="130" unbalanced="0">
      <fieldsUsage count="2">
        <fieldUsage x="-1"/>
        <fieldUsage x="0"/>
      </fieldsUsage>
    </cacheHierarchy>
    <cacheHierarchy uniqueName="[HR].[JobRole]" caption="JobRole" attribute="1" defaultMemberUniqueName="[HR].[JobRole].[All]" allUniqueName="[HR].[JobRole].[All]" dimensionUniqueName="[HR]" displayFolder="" count="0" memberValueDatatype="130" unbalanced="0"/>
    <cacheHierarchy uniqueName="[HR].[JobSatisfaction]" caption="JobSatisfaction" attribute="1" defaultMemberUniqueName="[HR].[JobSatisfaction].[All]" allUniqueName="[HR].[JobSatisfaction].[All]" dimensionUniqueName="[HR]" displayFolder="" count="0" memberValueDatatype="20" unbalanced="0"/>
    <cacheHierarchy uniqueName="[HR].[MaritalStatus]" caption="MaritalStatus" attribute="1" defaultMemberUniqueName="[HR].[MaritalStatus].[All]" allUniqueName="[HR].[MaritalStatus].[All]" dimensionUniqueName="[HR]" displayFolder="" count="0" memberValueDatatype="130" unbalanced="0"/>
    <cacheHierarchy uniqueName="[HR].[MonthlyIncome]" caption="MonthlyIncome" attribute="1" defaultMemberUniqueName="[HR].[MonthlyIncome].[All]" allUniqueName="[HR].[MonthlyIncome].[All]" dimensionUniqueName="[HR]" displayFolder="" count="0" memberValueDatatype="20" unbalanced="0"/>
    <cacheHierarchy uniqueName="[HR].[OverTime]" caption="OverTime" attribute="1" defaultMemberUniqueName="[HR].[OverTime].[All]" allUniqueName="[HR].[OverTime].[All]" dimensionUniqueName="[HR]" displayFolder="" count="0" memberValueDatatype="130" unbalanced="0"/>
    <cacheHierarchy uniqueName="[HR].[PerformanceRating]" caption="PerformanceRating" attribute="1" defaultMemberUniqueName="[HR].[PerformanceRating].[All]" allUniqueName="[HR].[PerformanceRating].[All]" dimensionUniqueName="[HR]" displayFolder="" count="0" memberValueDatatype="20" unbalanced="0"/>
    <cacheHierarchy uniqueName="[HR].[WorkLifeBalance]" caption="WorkLifeBalance" attribute="1" defaultMemberUniqueName="[HR].[WorkLifeBalance].[All]" allUniqueName="[HR].[WorkLifeBalance].[All]" dimensionUniqueName="[HR]" displayFolder="" count="0" memberValueDatatype="20" unbalanced="0"/>
    <cacheHierarchy uniqueName="[HR].[WorklifeBalance2]" caption="WorklifeBalance2" attribute="1" defaultMemberUniqueName="[HR].[WorklifeBalance2].[All]" allUniqueName="[HR].[WorklifeBalance2].[All]" dimensionUniqueName="[HR]" displayFolder="" count="0" memberValueDatatype="130" unbalanced="0"/>
    <cacheHierarchy uniqueName="[Measures].[Employess left]" caption="Employess left" measure="1" displayFolder="" measureGroup="HR" count="0"/>
    <cacheHierarchy uniqueName="[Measures].[Total Employess]" caption="Total Employess" measure="1" displayFolder="" measureGroup="HR" count="0"/>
    <cacheHierarchy uniqueName="[Measures].[Attrition rate]" caption="Attrition rate" measure="1" displayFolder="" measureGroup="HR" count="0"/>
    <cacheHierarchy uniqueName="[Measures].[EMPLOYESS DOING OVERTIME]" caption="EMPLOYESS DOING OVERTIME" measure="1" displayFolder="" measureGroup="HR" count="0"/>
    <cacheHierarchy uniqueName="[Measures].[__XL_Count HR]" caption="__XL_Count HR" measure="1" displayFolder="" measureGroup="HR" count="0" hidden="1"/>
    <cacheHierarchy uniqueName="[Measures].[__No measures defined]" caption="__No measures defined" measure="1" displayFolder="" count="0" hidden="1"/>
    <cacheHierarchy uniqueName="[Measures].[Sum of Age]" caption="Sum of Age" measure="1" displayFolder="" measureGroup="HR" count="0" hidden="1">
      <extLst>
        <ext xmlns:x15="http://schemas.microsoft.com/office/spreadsheetml/2010/11/main" uri="{B97F6D7D-B522-45F9-BDA1-12C45D357490}">
          <x15:cacheHierarchy aggregatedColumn="0"/>
        </ext>
      </extLst>
    </cacheHierarchy>
    <cacheHierarchy uniqueName="[Measures].[Count of Age]" caption="Count of Age" measure="1" displayFolder="" measureGroup="HR"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Gender]" caption="Count of Gender" measure="1" displayFolder="" measureGroup="HR" count="0" hidden="1">
      <extLst>
        <ext xmlns:x15="http://schemas.microsoft.com/office/spreadsheetml/2010/11/main" uri="{B97F6D7D-B522-45F9-BDA1-12C45D357490}">
          <x15:cacheHierarchy aggregatedColumn="7"/>
        </ext>
      </extLst>
    </cacheHierarchy>
    <cacheHierarchy uniqueName="[Measures].[Count of Attrition]" caption="Count of Attrition" measure="1" displayFolder="" measureGroup="HR" count="0" hidden="1">
      <extLst>
        <ext xmlns:x15="http://schemas.microsoft.com/office/spreadsheetml/2010/11/main" uri="{B97F6D7D-B522-45F9-BDA1-12C45D357490}">
          <x15:cacheHierarchy aggregatedColumn="1"/>
        </ext>
      </extLst>
    </cacheHierarchy>
    <cacheHierarchy uniqueName="[Measures].[Sum of Education]" caption="Sum of Education" measure="1" displayFolder="" measureGroup="HR" count="0" hidden="1">
      <extLst>
        <ext xmlns:x15="http://schemas.microsoft.com/office/spreadsheetml/2010/11/main" uri="{B97F6D7D-B522-45F9-BDA1-12C45D357490}">
          <x15:cacheHierarchy aggregatedColumn="4"/>
        </ext>
      </extLst>
    </cacheHierarchy>
    <cacheHierarchy uniqueName="[Measures].[Sum of JobSatisfaction]" caption="Sum of JobSatisfaction" measure="1" displayFolder="" measureGroup="HR" count="0" hidden="1">
      <extLst>
        <ext xmlns:x15="http://schemas.microsoft.com/office/spreadsheetml/2010/11/main" uri="{B97F6D7D-B522-45F9-BDA1-12C45D357490}">
          <x15:cacheHierarchy aggregatedColumn="9"/>
        </ext>
      </extLst>
    </cacheHierarchy>
    <cacheHierarchy uniqueName="[Measures].[Average of JobSatisfaction]" caption="Average of JobSatisfaction" measure="1" displayFolder="" measureGroup="HR" count="0" hidden="1">
      <extLst>
        <ext xmlns:x15="http://schemas.microsoft.com/office/spreadsheetml/2010/11/main" uri="{B97F6D7D-B522-45F9-BDA1-12C45D357490}">
          <x15:cacheHierarchy aggregatedColumn="9"/>
        </ext>
      </extLst>
    </cacheHierarchy>
    <cacheHierarchy uniqueName="[Measures].[Sum of WorkLifeBalance]" caption="Sum of WorkLifeBalance" measure="1" displayFolder="" measureGroup="HR" count="0" hidden="1">
      <extLst>
        <ext xmlns:x15="http://schemas.microsoft.com/office/spreadsheetml/2010/11/main" uri="{B97F6D7D-B522-45F9-BDA1-12C45D357490}">
          <x15:cacheHierarchy aggregatedColumn="14"/>
        </ext>
      </extLst>
    </cacheHierarchy>
    <cacheHierarchy uniqueName="[Measures].[Count of WorkLifeBalance]" caption="Count of WorkLifeBalance" measure="1" displayFolder="" measureGroup="HR" count="0" hidden="1">
      <extLst>
        <ext xmlns:x15="http://schemas.microsoft.com/office/spreadsheetml/2010/11/main" uri="{B97F6D7D-B522-45F9-BDA1-12C45D357490}">
          <x15:cacheHierarchy aggregatedColumn="14"/>
        </ext>
      </extLst>
    </cacheHierarchy>
    <cacheHierarchy uniqueName="[Measures].[Sum of EnvironmentSatisfaction]" caption="Sum of EnvironmentSatisfaction" measure="1" displayFolder="" measureGroup="HR" count="0" hidden="1">
      <extLst>
        <ext xmlns:x15="http://schemas.microsoft.com/office/spreadsheetml/2010/11/main" uri="{B97F6D7D-B522-45F9-BDA1-12C45D357490}">
          <x15:cacheHierarchy aggregatedColumn="6"/>
        </ext>
      </extLst>
    </cacheHierarchy>
    <cacheHierarchy uniqueName="[Measures].[Count of OverTime]" caption="Count of OverTime" measure="1" displayFolder="" measureGroup="HR" count="0" hidden="1">
      <extLst>
        <ext xmlns:x15="http://schemas.microsoft.com/office/spreadsheetml/2010/11/main" uri="{B97F6D7D-B522-45F9-BDA1-12C45D357490}">
          <x15:cacheHierarchy aggregatedColumn="12"/>
        </ext>
      </extLst>
    </cacheHierarchy>
    <cacheHierarchy uniqueName="[Measures].[Sum of PerformanceRating]" caption="Sum of PerformanceRating" measure="1" displayFolder="" measureGroup="HR" count="0" hidden="1">
      <extLst>
        <ext xmlns:x15="http://schemas.microsoft.com/office/spreadsheetml/2010/11/main" uri="{B97F6D7D-B522-45F9-BDA1-12C45D357490}">
          <x15:cacheHierarchy aggregatedColumn="13"/>
        </ext>
      </extLst>
    </cacheHierarchy>
    <cacheHierarchy uniqueName="[Measures].[Sum of MonthlyIncome]" caption="Sum of MonthlyIncome" measure="1" displayFolder="" measureGroup="HR" count="0" hidden="1">
      <extLst>
        <ext xmlns:x15="http://schemas.microsoft.com/office/spreadsheetml/2010/11/main" uri="{B97F6D7D-B522-45F9-BDA1-12C45D357490}">
          <x15:cacheHierarchy aggregatedColumn="11"/>
        </ext>
      </extLst>
    </cacheHierarchy>
    <cacheHierarchy uniqueName="[Measures].[Average of MonthlyIncome]" caption="Average of MonthlyIncome" measure="1" displayFolder="" measureGroup="HR" count="0" hidden="1">
      <extLst>
        <ext xmlns:x15="http://schemas.microsoft.com/office/spreadsheetml/2010/11/main" uri="{B97F6D7D-B522-45F9-BDA1-12C45D357490}">
          <x15:cacheHierarchy aggregatedColumn="11"/>
        </ext>
      </extLst>
    </cacheHierarchy>
  </cacheHierarchies>
  <kpis count="0"/>
  <dimensions count="2">
    <dimension name="HR" uniqueName="[HR]" caption="HR"/>
    <dimension measure="1" name="Measures" uniqueName="[Measures]" caption="Measures"/>
  </dimensions>
  <measureGroups count="1">
    <measureGroup name="HR" caption="HR"/>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Sekhar Rachaneni" refreshedDate="46144.401583680556" backgroundQuery="1" createdVersion="8" refreshedVersion="8" minRefreshableVersion="3" recordCount="0" supportSubquery="1" supportAdvancedDrill="1" xr:uid="{9B2809A4-CF96-4CE1-94A2-B5900F51535F}">
  <cacheSource type="external" connectionId="2"/>
  <cacheFields count="3">
    <cacheField name="[HR].[Department].[Department]" caption="Department" numFmtId="0" hierarchy="3" level="1">
      <sharedItems count="3">
        <s v="Human Resources"/>
        <s v="Research &amp; Development"/>
        <s v="Sales"/>
      </sharedItems>
    </cacheField>
    <cacheField name="[Measures].[Employess left]" caption="Employess left" numFmtId="0" hierarchy="16" level="32767"/>
    <cacheField name="[HR].[Gender].[Gender]" caption="Gender" numFmtId="0" hierarchy="7" level="1">
      <sharedItems containsSemiMixedTypes="0" containsNonDate="0" containsString="0"/>
    </cacheField>
  </cacheFields>
  <cacheHierarchies count="36">
    <cacheHierarchy uniqueName="[HR].[Age]" caption="Age" attribute="1" defaultMemberUniqueName="[HR].[Age].[All]" allUniqueName="[HR].[Age].[All]" dimensionUniqueName="[HR]" displayFolder="" count="0" memberValueDatatype="20" unbalanced="0"/>
    <cacheHierarchy uniqueName="[HR].[Attrition]" caption="Attrition" attribute="1" defaultMemberUniqueName="[HR].[Attrition].[All]" allUniqueName="[HR].[Attrition].[All]" dimensionUniqueName="[HR]" displayFolder="" count="0" memberValueDatatype="130" unbalanced="0"/>
    <cacheHierarchy uniqueName="[HR].[BusinessTravel]" caption="BusinessTravel" attribute="1" defaultMemberUniqueName="[HR].[BusinessTravel].[All]" allUniqueName="[HR].[BusinessTravel].[All]" dimensionUniqueName="[HR]" displayFolder="" count="0" memberValueDatatype="130" unbalanced="0"/>
    <cacheHierarchy uniqueName="[HR].[Department]" caption="Department" attribute="1" defaultMemberUniqueName="[HR].[Department].[All]" allUniqueName="[HR].[Department].[All]" dimensionUniqueName="[HR]" displayFolder="" count="2" memberValueDatatype="130" unbalanced="0">
      <fieldsUsage count="2">
        <fieldUsage x="-1"/>
        <fieldUsage x="0"/>
      </fieldsUsage>
    </cacheHierarchy>
    <cacheHierarchy uniqueName="[HR].[Education]" caption="Education" attribute="1" defaultMemberUniqueName="[HR].[Education].[All]" allUniqueName="[HR].[Education].[All]" dimensionUniqueName="[HR]" displayFolder="" count="0" memberValueDatatype="20" unbalanced="0"/>
    <cacheHierarchy uniqueName="[HR].[EducationField]" caption="EducationField" attribute="1" defaultMemberUniqueName="[HR].[EducationField].[All]" allUniqueName="[HR].[EducationField].[All]" dimensionUniqueName="[HR]" displayFolder="" count="0" memberValueDatatype="130" unbalanced="0"/>
    <cacheHierarchy uniqueName="[HR].[EnvironmentSatisfaction]" caption="EnvironmentSatisfaction" attribute="1" defaultMemberUniqueName="[HR].[EnvironmentSatisfaction].[All]" allUniqueName="[HR].[EnvironmentSatisfaction].[All]" dimensionUniqueName="[HR]" displayFolder="" count="0" memberValueDatatype="20" unbalanced="0"/>
    <cacheHierarchy uniqueName="[HR].[Gender]" caption="Gender" attribute="1" defaultMemberUniqueName="[HR].[Gender].[All]" allUniqueName="[HR].[Gender].[All]" dimensionUniqueName="[HR]" displayFolder="" count="2" memberValueDatatype="130" unbalanced="0">
      <fieldsUsage count="2">
        <fieldUsage x="-1"/>
        <fieldUsage x="2"/>
      </fieldsUsage>
    </cacheHierarchy>
    <cacheHierarchy uniqueName="[HR].[JobRole]" caption="JobRole" attribute="1" defaultMemberUniqueName="[HR].[JobRole].[All]" allUniqueName="[HR].[JobRole].[All]" dimensionUniqueName="[HR]" displayFolder="" count="0" memberValueDatatype="130" unbalanced="0"/>
    <cacheHierarchy uniqueName="[HR].[JobSatisfaction]" caption="JobSatisfaction" attribute="1" defaultMemberUniqueName="[HR].[JobSatisfaction].[All]" allUniqueName="[HR].[JobSatisfaction].[All]" dimensionUniqueName="[HR]" displayFolder="" count="0" memberValueDatatype="20" unbalanced="0"/>
    <cacheHierarchy uniqueName="[HR].[MaritalStatus]" caption="MaritalStatus" attribute="1" defaultMemberUniqueName="[HR].[MaritalStatus].[All]" allUniqueName="[HR].[MaritalStatus].[All]" dimensionUniqueName="[HR]" displayFolder="" count="0" memberValueDatatype="130" unbalanced="0"/>
    <cacheHierarchy uniqueName="[HR].[MonthlyIncome]" caption="MonthlyIncome" attribute="1" defaultMemberUniqueName="[HR].[MonthlyIncome].[All]" allUniqueName="[HR].[MonthlyIncome].[All]" dimensionUniqueName="[HR]" displayFolder="" count="0" memberValueDatatype="20" unbalanced="0"/>
    <cacheHierarchy uniqueName="[HR].[OverTime]" caption="OverTime" attribute="1" defaultMemberUniqueName="[HR].[OverTime].[All]" allUniqueName="[HR].[OverTime].[All]" dimensionUniqueName="[HR]" displayFolder="" count="0" memberValueDatatype="130" unbalanced="0"/>
    <cacheHierarchy uniqueName="[HR].[PerformanceRating]" caption="PerformanceRating" attribute="1" defaultMemberUniqueName="[HR].[PerformanceRating].[All]" allUniqueName="[HR].[PerformanceRating].[All]" dimensionUniqueName="[HR]" displayFolder="" count="0" memberValueDatatype="20" unbalanced="0"/>
    <cacheHierarchy uniqueName="[HR].[WorkLifeBalance]" caption="WorkLifeBalance" attribute="1" defaultMemberUniqueName="[HR].[WorkLifeBalance].[All]" allUniqueName="[HR].[WorkLifeBalance].[All]" dimensionUniqueName="[HR]" displayFolder="" count="0" memberValueDatatype="20" unbalanced="0"/>
    <cacheHierarchy uniqueName="[HR].[WorklifeBalance2]" caption="WorklifeBalance2" attribute="1" defaultMemberUniqueName="[HR].[WorklifeBalance2].[All]" allUniqueName="[HR].[WorklifeBalance2].[All]" dimensionUniqueName="[HR]" displayFolder="" count="0" memberValueDatatype="130" unbalanced="0"/>
    <cacheHierarchy uniqueName="[Measures].[Employess left]" caption="Employess left" measure="1" displayFolder="" measureGroup="HR" count="0" oneField="1">
      <fieldsUsage count="1">
        <fieldUsage x="1"/>
      </fieldsUsage>
    </cacheHierarchy>
    <cacheHierarchy uniqueName="[Measures].[Total Employess]" caption="Total Employess" measure="1" displayFolder="" measureGroup="HR" count="0"/>
    <cacheHierarchy uniqueName="[Measures].[Attrition rate]" caption="Attrition rate" measure="1" displayFolder="" measureGroup="HR" count="0"/>
    <cacheHierarchy uniqueName="[Measures].[EMPLOYESS DOING OVERTIME]" caption="EMPLOYESS DOING OVERTIME" measure="1" displayFolder="" measureGroup="HR" count="0"/>
    <cacheHierarchy uniqueName="[Measures].[__XL_Count HR]" caption="__XL_Count HR" measure="1" displayFolder="" measureGroup="HR" count="0" hidden="1"/>
    <cacheHierarchy uniqueName="[Measures].[__No measures defined]" caption="__No measures defined" measure="1" displayFolder="" count="0" hidden="1"/>
    <cacheHierarchy uniqueName="[Measures].[Sum of Age]" caption="Sum of Age" measure="1" displayFolder="" measureGroup="HR" count="0" hidden="1">
      <extLst>
        <ext xmlns:x15="http://schemas.microsoft.com/office/spreadsheetml/2010/11/main" uri="{B97F6D7D-B522-45F9-BDA1-12C45D357490}">
          <x15:cacheHierarchy aggregatedColumn="0"/>
        </ext>
      </extLst>
    </cacheHierarchy>
    <cacheHierarchy uniqueName="[Measures].[Count of Age]" caption="Count of Age" measure="1" displayFolder="" measureGroup="HR"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HR" count="0" hidden="1">
      <extLst>
        <ext xmlns:x15="http://schemas.microsoft.com/office/spreadsheetml/2010/11/main" uri="{B97F6D7D-B522-45F9-BDA1-12C45D357490}">
          <x15:cacheHierarchy aggregatedColumn="7"/>
        </ext>
      </extLst>
    </cacheHierarchy>
    <cacheHierarchy uniqueName="[Measures].[Count of Attrition]" caption="Count of Attrition" measure="1" displayFolder="" measureGroup="HR" count="0" hidden="1">
      <extLst>
        <ext xmlns:x15="http://schemas.microsoft.com/office/spreadsheetml/2010/11/main" uri="{B97F6D7D-B522-45F9-BDA1-12C45D357490}">
          <x15:cacheHierarchy aggregatedColumn="1"/>
        </ext>
      </extLst>
    </cacheHierarchy>
    <cacheHierarchy uniqueName="[Measures].[Sum of Education]" caption="Sum of Education" measure="1" displayFolder="" measureGroup="HR" count="0" hidden="1">
      <extLst>
        <ext xmlns:x15="http://schemas.microsoft.com/office/spreadsheetml/2010/11/main" uri="{B97F6D7D-B522-45F9-BDA1-12C45D357490}">
          <x15:cacheHierarchy aggregatedColumn="4"/>
        </ext>
      </extLst>
    </cacheHierarchy>
    <cacheHierarchy uniqueName="[Measures].[Sum of JobSatisfaction]" caption="Sum of JobSatisfaction" measure="1" displayFolder="" measureGroup="HR" count="0" hidden="1">
      <extLst>
        <ext xmlns:x15="http://schemas.microsoft.com/office/spreadsheetml/2010/11/main" uri="{B97F6D7D-B522-45F9-BDA1-12C45D357490}">
          <x15:cacheHierarchy aggregatedColumn="9"/>
        </ext>
      </extLst>
    </cacheHierarchy>
    <cacheHierarchy uniqueName="[Measures].[Average of JobSatisfaction]" caption="Average of JobSatisfaction" measure="1" displayFolder="" measureGroup="HR" count="0" hidden="1">
      <extLst>
        <ext xmlns:x15="http://schemas.microsoft.com/office/spreadsheetml/2010/11/main" uri="{B97F6D7D-B522-45F9-BDA1-12C45D357490}">
          <x15:cacheHierarchy aggregatedColumn="9"/>
        </ext>
      </extLst>
    </cacheHierarchy>
    <cacheHierarchy uniqueName="[Measures].[Sum of WorkLifeBalance]" caption="Sum of WorkLifeBalance" measure="1" displayFolder="" measureGroup="HR" count="0" hidden="1">
      <extLst>
        <ext xmlns:x15="http://schemas.microsoft.com/office/spreadsheetml/2010/11/main" uri="{B97F6D7D-B522-45F9-BDA1-12C45D357490}">
          <x15:cacheHierarchy aggregatedColumn="14"/>
        </ext>
      </extLst>
    </cacheHierarchy>
    <cacheHierarchy uniqueName="[Measures].[Count of WorkLifeBalance]" caption="Count of WorkLifeBalance" measure="1" displayFolder="" measureGroup="HR" count="0" hidden="1">
      <extLst>
        <ext xmlns:x15="http://schemas.microsoft.com/office/spreadsheetml/2010/11/main" uri="{B97F6D7D-B522-45F9-BDA1-12C45D357490}">
          <x15:cacheHierarchy aggregatedColumn="14"/>
        </ext>
      </extLst>
    </cacheHierarchy>
    <cacheHierarchy uniqueName="[Measures].[Sum of EnvironmentSatisfaction]" caption="Sum of EnvironmentSatisfaction" measure="1" displayFolder="" measureGroup="HR" count="0" hidden="1">
      <extLst>
        <ext xmlns:x15="http://schemas.microsoft.com/office/spreadsheetml/2010/11/main" uri="{B97F6D7D-B522-45F9-BDA1-12C45D357490}">
          <x15:cacheHierarchy aggregatedColumn="6"/>
        </ext>
      </extLst>
    </cacheHierarchy>
    <cacheHierarchy uniqueName="[Measures].[Count of OverTime]" caption="Count of OverTime" measure="1" displayFolder="" measureGroup="HR" count="0" hidden="1">
      <extLst>
        <ext xmlns:x15="http://schemas.microsoft.com/office/spreadsheetml/2010/11/main" uri="{B97F6D7D-B522-45F9-BDA1-12C45D357490}">
          <x15:cacheHierarchy aggregatedColumn="12"/>
        </ext>
      </extLst>
    </cacheHierarchy>
    <cacheHierarchy uniqueName="[Measures].[Sum of PerformanceRating]" caption="Sum of PerformanceRating" measure="1" displayFolder="" measureGroup="HR" count="0" hidden="1">
      <extLst>
        <ext xmlns:x15="http://schemas.microsoft.com/office/spreadsheetml/2010/11/main" uri="{B97F6D7D-B522-45F9-BDA1-12C45D357490}">
          <x15:cacheHierarchy aggregatedColumn="13"/>
        </ext>
      </extLst>
    </cacheHierarchy>
    <cacheHierarchy uniqueName="[Measures].[Sum of MonthlyIncome]" caption="Sum of MonthlyIncome" measure="1" displayFolder="" measureGroup="HR" count="0" hidden="1">
      <extLst>
        <ext xmlns:x15="http://schemas.microsoft.com/office/spreadsheetml/2010/11/main" uri="{B97F6D7D-B522-45F9-BDA1-12C45D357490}">
          <x15:cacheHierarchy aggregatedColumn="11"/>
        </ext>
      </extLst>
    </cacheHierarchy>
    <cacheHierarchy uniqueName="[Measures].[Average of MonthlyIncome]" caption="Average of MonthlyIncome" measure="1" displayFolder="" measureGroup="HR" count="0" hidden="1">
      <extLst>
        <ext xmlns:x15="http://schemas.microsoft.com/office/spreadsheetml/2010/11/main" uri="{B97F6D7D-B522-45F9-BDA1-12C45D357490}">
          <x15:cacheHierarchy aggregatedColumn="11"/>
        </ext>
      </extLst>
    </cacheHierarchy>
  </cacheHierarchies>
  <kpis count="0"/>
  <dimensions count="2">
    <dimension name="HR" uniqueName="[HR]" caption="HR"/>
    <dimension measure="1" name="Measures" uniqueName="[Measures]" caption="Measures"/>
  </dimensions>
  <measureGroups count="1">
    <measureGroup name="HR" caption="HR"/>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Sekhar Rachaneni" refreshedDate="46144.401588773151" backgroundQuery="1" createdVersion="8" refreshedVersion="8" minRefreshableVersion="3" recordCount="0" supportSubquery="1" supportAdvancedDrill="1" xr:uid="{31D70500-9F23-49DE-8574-03101337F3AA}">
  <cacheSource type="external" connectionId="2"/>
  <cacheFields count="3">
    <cacheField name="[Measures].[Employess left]" caption="Employess left" numFmtId="0" hierarchy="16" level="32767"/>
    <cacheField name="[HR].[Gender].[Gender]" caption="Gender" numFmtId="0" hierarchy="7" level="1">
      <sharedItems count="2">
        <s v="Female"/>
        <s v="Male"/>
      </sharedItems>
    </cacheField>
    <cacheField name="[Measures].[Attrition rate]" caption="Attrition rate" numFmtId="0" hierarchy="18" level="32767"/>
  </cacheFields>
  <cacheHierarchies count="36">
    <cacheHierarchy uniqueName="[HR].[Age]" caption="Age" attribute="1" defaultMemberUniqueName="[HR].[Age].[All]" allUniqueName="[HR].[Age].[All]" dimensionUniqueName="[HR]" displayFolder="" count="0" memberValueDatatype="20" unbalanced="0"/>
    <cacheHierarchy uniqueName="[HR].[Attrition]" caption="Attrition" attribute="1" defaultMemberUniqueName="[HR].[Attrition].[All]" allUniqueName="[HR].[Attrition].[All]" dimensionUniqueName="[HR]" displayFolder="" count="0" memberValueDatatype="130" unbalanced="0"/>
    <cacheHierarchy uniqueName="[HR].[BusinessTravel]" caption="BusinessTravel" attribute="1" defaultMemberUniqueName="[HR].[BusinessTravel].[All]" allUniqueName="[HR].[BusinessTravel].[All]" dimensionUniqueName="[HR]" displayFolder="" count="0" memberValueDatatype="130" unbalanced="0"/>
    <cacheHierarchy uniqueName="[HR].[Department]" caption="Department" attribute="1" defaultMemberUniqueName="[HR].[Department].[All]" allUniqueName="[HR].[Department].[All]" dimensionUniqueName="[HR]" displayFolder="" count="0" memberValueDatatype="130" unbalanced="0"/>
    <cacheHierarchy uniqueName="[HR].[Education]" caption="Education" attribute="1" defaultMemberUniqueName="[HR].[Education].[All]" allUniqueName="[HR].[Education].[All]" dimensionUniqueName="[HR]" displayFolder="" count="0" memberValueDatatype="20" unbalanced="0"/>
    <cacheHierarchy uniqueName="[HR].[EducationField]" caption="EducationField" attribute="1" defaultMemberUniqueName="[HR].[EducationField].[All]" allUniqueName="[HR].[EducationField].[All]" dimensionUniqueName="[HR]" displayFolder="" count="0" memberValueDatatype="130" unbalanced="0"/>
    <cacheHierarchy uniqueName="[HR].[EnvironmentSatisfaction]" caption="EnvironmentSatisfaction" attribute="1" defaultMemberUniqueName="[HR].[EnvironmentSatisfaction].[All]" allUniqueName="[HR].[EnvironmentSatisfaction].[All]" dimensionUniqueName="[HR]" displayFolder="" count="0" memberValueDatatype="20" unbalanced="0"/>
    <cacheHierarchy uniqueName="[HR].[Gender]" caption="Gender" attribute="1" defaultMemberUniqueName="[HR].[Gender].[All]" allUniqueName="[HR].[Gender].[All]" dimensionUniqueName="[HR]" displayFolder="" count="2" memberValueDatatype="130" unbalanced="0">
      <fieldsUsage count="2">
        <fieldUsage x="-1"/>
        <fieldUsage x="1"/>
      </fieldsUsage>
    </cacheHierarchy>
    <cacheHierarchy uniqueName="[HR].[JobRole]" caption="JobRole" attribute="1" defaultMemberUniqueName="[HR].[JobRole].[All]" allUniqueName="[HR].[JobRole].[All]" dimensionUniqueName="[HR]" displayFolder="" count="0" memberValueDatatype="130" unbalanced="0"/>
    <cacheHierarchy uniqueName="[HR].[JobSatisfaction]" caption="JobSatisfaction" attribute="1" defaultMemberUniqueName="[HR].[JobSatisfaction].[All]" allUniqueName="[HR].[JobSatisfaction].[All]" dimensionUniqueName="[HR]" displayFolder="" count="0" memberValueDatatype="20" unbalanced="0"/>
    <cacheHierarchy uniqueName="[HR].[MaritalStatus]" caption="MaritalStatus" attribute="1" defaultMemberUniqueName="[HR].[MaritalStatus].[All]" allUniqueName="[HR].[MaritalStatus].[All]" dimensionUniqueName="[HR]" displayFolder="" count="0" memberValueDatatype="130" unbalanced="0"/>
    <cacheHierarchy uniqueName="[HR].[MonthlyIncome]" caption="MonthlyIncome" attribute="1" defaultMemberUniqueName="[HR].[MonthlyIncome].[All]" allUniqueName="[HR].[MonthlyIncome].[All]" dimensionUniqueName="[HR]" displayFolder="" count="0" memberValueDatatype="20" unbalanced="0"/>
    <cacheHierarchy uniqueName="[HR].[OverTime]" caption="OverTime" attribute="1" defaultMemberUniqueName="[HR].[OverTime].[All]" allUniqueName="[HR].[OverTime].[All]" dimensionUniqueName="[HR]" displayFolder="" count="0" memberValueDatatype="130" unbalanced="0"/>
    <cacheHierarchy uniqueName="[HR].[PerformanceRating]" caption="PerformanceRating" attribute="1" defaultMemberUniqueName="[HR].[PerformanceRating].[All]" allUniqueName="[HR].[PerformanceRating].[All]" dimensionUniqueName="[HR]" displayFolder="" count="0" memberValueDatatype="20" unbalanced="0"/>
    <cacheHierarchy uniqueName="[HR].[WorkLifeBalance]" caption="WorkLifeBalance" attribute="1" defaultMemberUniqueName="[HR].[WorkLifeBalance].[All]" allUniqueName="[HR].[WorkLifeBalance].[All]" dimensionUniqueName="[HR]" displayFolder="" count="0" memberValueDatatype="20" unbalanced="0"/>
    <cacheHierarchy uniqueName="[HR].[WorklifeBalance2]" caption="WorklifeBalance2" attribute="1" defaultMemberUniqueName="[HR].[WorklifeBalance2].[All]" allUniqueName="[HR].[WorklifeBalance2].[All]" dimensionUniqueName="[HR]" displayFolder="" count="0" memberValueDatatype="130" unbalanced="0"/>
    <cacheHierarchy uniqueName="[Measures].[Employess left]" caption="Employess left" measure="1" displayFolder="" measureGroup="HR" count="0" oneField="1">
      <fieldsUsage count="1">
        <fieldUsage x="0"/>
      </fieldsUsage>
    </cacheHierarchy>
    <cacheHierarchy uniqueName="[Measures].[Total Employess]" caption="Total Employess" measure="1" displayFolder="" measureGroup="HR" count="0"/>
    <cacheHierarchy uniqueName="[Measures].[Attrition rate]" caption="Attrition rate" measure="1" displayFolder="" measureGroup="HR" count="0" oneField="1">
      <fieldsUsage count="1">
        <fieldUsage x="2"/>
      </fieldsUsage>
    </cacheHierarchy>
    <cacheHierarchy uniqueName="[Measures].[EMPLOYESS DOING OVERTIME]" caption="EMPLOYESS DOING OVERTIME" measure="1" displayFolder="" measureGroup="HR" count="0"/>
    <cacheHierarchy uniqueName="[Measures].[__XL_Count HR]" caption="__XL_Count HR" measure="1" displayFolder="" measureGroup="HR" count="0" hidden="1"/>
    <cacheHierarchy uniqueName="[Measures].[__No measures defined]" caption="__No measures defined" measure="1" displayFolder="" count="0" hidden="1"/>
    <cacheHierarchy uniqueName="[Measures].[Sum of Age]" caption="Sum of Age" measure="1" displayFolder="" measureGroup="HR" count="0" hidden="1">
      <extLst>
        <ext xmlns:x15="http://schemas.microsoft.com/office/spreadsheetml/2010/11/main" uri="{B97F6D7D-B522-45F9-BDA1-12C45D357490}">
          <x15:cacheHierarchy aggregatedColumn="0"/>
        </ext>
      </extLst>
    </cacheHierarchy>
    <cacheHierarchy uniqueName="[Measures].[Count of Age]" caption="Count of Age" measure="1" displayFolder="" measureGroup="HR"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HR" count="0" hidden="1">
      <extLst>
        <ext xmlns:x15="http://schemas.microsoft.com/office/spreadsheetml/2010/11/main" uri="{B97F6D7D-B522-45F9-BDA1-12C45D357490}">
          <x15:cacheHierarchy aggregatedColumn="7"/>
        </ext>
      </extLst>
    </cacheHierarchy>
    <cacheHierarchy uniqueName="[Measures].[Count of Attrition]" caption="Count of Attrition" measure="1" displayFolder="" measureGroup="HR" count="0" hidden="1">
      <extLst>
        <ext xmlns:x15="http://schemas.microsoft.com/office/spreadsheetml/2010/11/main" uri="{B97F6D7D-B522-45F9-BDA1-12C45D357490}">
          <x15:cacheHierarchy aggregatedColumn="1"/>
        </ext>
      </extLst>
    </cacheHierarchy>
    <cacheHierarchy uniqueName="[Measures].[Sum of Education]" caption="Sum of Education" measure="1" displayFolder="" measureGroup="HR" count="0" hidden="1">
      <extLst>
        <ext xmlns:x15="http://schemas.microsoft.com/office/spreadsheetml/2010/11/main" uri="{B97F6D7D-B522-45F9-BDA1-12C45D357490}">
          <x15:cacheHierarchy aggregatedColumn="4"/>
        </ext>
      </extLst>
    </cacheHierarchy>
    <cacheHierarchy uniqueName="[Measures].[Sum of JobSatisfaction]" caption="Sum of JobSatisfaction" measure="1" displayFolder="" measureGroup="HR" count="0" hidden="1">
      <extLst>
        <ext xmlns:x15="http://schemas.microsoft.com/office/spreadsheetml/2010/11/main" uri="{B97F6D7D-B522-45F9-BDA1-12C45D357490}">
          <x15:cacheHierarchy aggregatedColumn="9"/>
        </ext>
      </extLst>
    </cacheHierarchy>
    <cacheHierarchy uniqueName="[Measures].[Average of JobSatisfaction]" caption="Average of JobSatisfaction" measure="1" displayFolder="" measureGroup="HR" count="0" hidden="1">
      <extLst>
        <ext xmlns:x15="http://schemas.microsoft.com/office/spreadsheetml/2010/11/main" uri="{B97F6D7D-B522-45F9-BDA1-12C45D357490}">
          <x15:cacheHierarchy aggregatedColumn="9"/>
        </ext>
      </extLst>
    </cacheHierarchy>
    <cacheHierarchy uniqueName="[Measures].[Sum of WorkLifeBalance]" caption="Sum of WorkLifeBalance" measure="1" displayFolder="" measureGroup="HR" count="0" hidden="1">
      <extLst>
        <ext xmlns:x15="http://schemas.microsoft.com/office/spreadsheetml/2010/11/main" uri="{B97F6D7D-B522-45F9-BDA1-12C45D357490}">
          <x15:cacheHierarchy aggregatedColumn="14"/>
        </ext>
      </extLst>
    </cacheHierarchy>
    <cacheHierarchy uniqueName="[Measures].[Count of WorkLifeBalance]" caption="Count of WorkLifeBalance" measure="1" displayFolder="" measureGroup="HR" count="0" hidden="1">
      <extLst>
        <ext xmlns:x15="http://schemas.microsoft.com/office/spreadsheetml/2010/11/main" uri="{B97F6D7D-B522-45F9-BDA1-12C45D357490}">
          <x15:cacheHierarchy aggregatedColumn="14"/>
        </ext>
      </extLst>
    </cacheHierarchy>
    <cacheHierarchy uniqueName="[Measures].[Sum of EnvironmentSatisfaction]" caption="Sum of EnvironmentSatisfaction" measure="1" displayFolder="" measureGroup="HR" count="0" hidden="1">
      <extLst>
        <ext xmlns:x15="http://schemas.microsoft.com/office/spreadsheetml/2010/11/main" uri="{B97F6D7D-B522-45F9-BDA1-12C45D357490}">
          <x15:cacheHierarchy aggregatedColumn="6"/>
        </ext>
      </extLst>
    </cacheHierarchy>
    <cacheHierarchy uniqueName="[Measures].[Count of OverTime]" caption="Count of OverTime" measure="1" displayFolder="" measureGroup="HR" count="0" hidden="1">
      <extLst>
        <ext xmlns:x15="http://schemas.microsoft.com/office/spreadsheetml/2010/11/main" uri="{B97F6D7D-B522-45F9-BDA1-12C45D357490}">
          <x15:cacheHierarchy aggregatedColumn="12"/>
        </ext>
      </extLst>
    </cacheHierarchy>
    <cacheHierarchy uniqueName="[Measures].[Sum of PerformanceRating]" caption="Sum of PerformanceRating" measure="1" displayFolder="" measureGroup="HR" count="0" hidden="1">
      <extLst>
        <ext xmlns:x15="http://schemas.microsoft.com/office/spreadsheetml/2010/11/main" uri="{B97F6D7D-B522-45F9-BDA1-12C45D357490}">
          <x15:cacheHierarchy aggregatedColumn="13"/>
        </ext>
      </extLst>
    </cacheHierarchy>
    <cacheHierarchy uniqueName="[Measures].[Sum of MonthlyIncome]" caption="Sum of MonthlyIncome" measure="1" displayFolder="" measureGroup="HR" count="0" hidden="1">
      <extLst>
        <ext xmlns:x15="http://schemas.microsoft.com/office/spreadsheetml/2010/11/main" uri="{B97F6D7D-B522-45F9-BDA1-12C45D357490}">
          <x15:cacheHierarchy aggregatedColumn="11"/>
        </ext>
      </extLst>
    </cacheHierarchy>
    <cacheHierarchy uniqueName="[Measures].[Average of MonthlyIncome]" caption="Average of MonthlyIncome" measure="1" displayFolder="" measureGroup="HR" count="0" hidden="1">
      <extLst>
        <ext xmlns:x15="http://schemas.microsoft.com/office/spreadsheetml/2010/11/main" uri="{B97F6D7D-B522-45F9-BDA1-12C45D357490}">
          <x15:cacheHierarchy aggregatedColumn="11"/>
        </ext>
      </extLst>
    </cacheHierarchy>
  </cacheHierarchies>
  <kpis count="0"/>
  <dimensions count="2">
    <dimension name="HR" uniqueName="[HR]" caption="HR"/>
    <dimension measure="1" name="Measures" uniqueName="[Measures]" caption="Measures"/>
  </dimensions>
  <measureGroups count="1">
    <measureGroup name="HR" caption="HR"/>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Sekhar Rachaneni" refreshedDate="46144.401591898146" backgroundQuery="1" createdVersion="8" refreshedVersion="8" minRefreshableVersion="3" recordCount="0" supportSubquery="1" supportAdvancedDrill="1" xr:uid="{73F114F4-B608-426E-B791-320B5415D409}">
  <cacheSource type="external" connectionId="2"/>
  <cacheFields count="3">
    <cacheField name="[Measures].[Employess left]" caption="Employess left" numFmtId="0" hierarchy="16" level="32767"/>
    <cacheField name="[HR].[JobRole].[JobRole]" caption="JobRole" numFmtId="0" hierarchy="8" level="1">
      <sharedItems count="5">
        <s v="Human Resources"/>
        <s v="Laboratory Technician"/>
        <s v="Research Scientist"/>
        <s v="Sales Executive"/>
        <s v="Sales Representative"/>
      </sharedItems>
    </cacheField>
    <cacheField name="[HR].[Gender].[Gender]" caption="Gender" numFmtId="0" hierarchy="7" level="1">
      <sharedItems containsSemiMixedTypes="0" containsNonDate="0" containsString="0"/>
    </cacheField>
  </cacheFields>
  <cacheHierarchies count="36">
    <cacheHierarchy uniqueName="[HR].[Age]" caption="Age" attribute="1" defaultMemberUniqueName="[HR].[Age].[All]" allUniqueName="[HR].[Age].[All]" dimensionUniqueName="[HR]" displayFolder="" count="0" memberValueDatatype="20" unbalanced="0"/>
    <cacheHierarchy uniqueName="[HR].[Attrition]" caption="Attrition" attribute="1" defaultMemberUniqueName="[HR].[Attrition].[All]" allUniqueName="[HR].[Attrition].[All]" dimensionUniqueName="[HR]" displayFolder="" count="0" memberValueDatatype="130" unbalanced="0"/>
    <cacheHierarchy uniqueName="[HR].[BusinessTravel]" caption="BusinessTravel" attribute="1" defaultMemberUniqueName="[HR].[BusinessTravel].[All]" allUniqueName="[HR].[BusinessTravel].[All]" dimensionUniqueName="[HR]" displayFolder="" count="0" memberValueDatatype="130" unbalanced="0"/>
    <cacheHierarchy uniqueName="[HR].[Department]" caption="Department" attribute="1" defaultMemberUniqueName="[HR].[Department].[All]" allUniqueName="[HR].[Department].[All]" dimensionUniqueName="[HR]" displayFolder="" count="0" memberValueDatatype="130" unbalanced="0"/>
    <cacheHierarchy uniqueName="[HR].[Education]" caption="Education" attribute="1" defaultMemberUniqueName="[HR].[Education].[All]" allUniqueName="[HR].[Education].[All]" dimensionUniqueName="[HR]" displayFolder="" count="0" memberValueDatatype="20" unbalanced="0"/>
    <cacheHierarchy uniqueName="[HR].[EducationField]" caption="EducationField" attribute="1" defaultMemberUniqueName="[HR].[EducationField].[All]" allUniqueName="[HR].[EducationField].[All]" dimensionUniqueName="[HR]" displayFolder="" count="0" memberValueDatatype="130" unbalanced="0"/>
    <cacheHierarchy uniqueName="[HR].[EnvironmentSatisfaction]" caption="EnvironmentSatisfaction" attribute="1" defaultMemberUniqueName="[HR].[EnvironmentSatisfaction].[All]" allUniqueName="[HR].[EnvironmentSatisfaction].[All]" dimensionUniqueName="[HR]" displayFolder="" count="0" memberValueDatatype="20" unbalanced="0"/>
    <cacheHierarchy uniqueName="[HR].[Gender]" caption="Gender" attribute="1" defaultMemberUniqueName="[HR].[Gender].[All]" allUniqueName="[HR].[Gender].[All]" dimensionUniqueName="[HR]" displayFolder="" count="2" memberValueDatatype="130" unbalanced="0">
      <fieldsUsage count="2">
        <fieldUsage x="-1"/>
        <fieldUsage x="2"/>
      </fieldsUsage>
    </cacheHierarchy>
    <cacheHierarchy uniqueName="[HR].[JobRole]" caption="JobRole" attribute="1" defaultMemberUniqueName="[HR].[JobRole].[All]" allUniqueName="[HR].[JobRole].[All]" dimensionUniqueName="[HR]" displayFolder="" count="2" memberValueDatatype="130" unbalanced="0">
      <fieldsUsage count="2">
        <fieldUsage x="-1"/>
        <fieldUsage x="1"/>
      </fieldsUsage>
    </cacheHierarchy>
    <cacheHierarchy uniqueName="[HR].[JobSatisfaction]" caption="JobSatisfaction" attribute="1" defaultMemberUniqueName="[HR].[JobSatisfaction].[All]" allUniqueName="[HR].[JobSatisfaction].[All]" dimensionUniqueName="[HR]" displayFolder="" count="0" memberValueDatatype="20" unbalanced="0"/>
    <cacheHierarchy uniqueName="[HR].[MaritalStatus]" caption="MaritalStatus" attribute="1" defaultMemberUniqueName="[HR].[MaritalStatus].[All]" allUniqueName="[HR].[MaritalStatus].[All]" dimensionUniqueName="[HR]" displayFolder="" count="0" memberValueDatatype="130" unbalanced="0"/>
    <cacheHierarchy uniqueName="[HR].[MonthlyIncome]" caption="MonthlyIncome" attribute="1" defaultMemberUniqueName="[HR].[MonthlyIncome].[All]" allUniqueName="[HR].[MonthlyIncome].[All]" dimensionUniqueName="[HR]" displayFolder="" count="0" memberValueDatatype="20" unbalanced="0"/>
    <cacheHierarchy uniqueName="[HR].[OverTime]" caption="OverTime" attribute="1" defaultMemberUniqueName="[HR].[OverTime].[All]" allUniqueName="[HR].[OverTime].[All]" dimensionUniqueName="[HR]" displayFolder="" count="0" memberValueDatatype="130" unbalanced="0"/>
    <cacheHierarchy uniqueName="[HR].[PerformanceRating]" caption="PerformanceRating" attribute="1" defaultMemberUniqueName="[HR].[PerformanceRating].[All]" allUniqueName="[HR].[PerformanceRating].[All]" dimensionUniqueName="[HR]" displayFolder="" count="0" memberValueDatatype="20" unbalanced="0"/>
    <cacheHierarchy uniqueName="[HR].[WorkLifeBalance]" caption="WorkLifeBalance" attribute="1" defaultMemberUniqueName="[HR].[WorkLifeBalance].[All]" allUniqueName="[HR].[WorkLifeBalance].[All]" dimensionUniqueName="[HR]" displayFolder="" count="0" memberValueDatatype="20" unbalanced="0"/>
    <cacheHierarchy uniqueName="[HR].[WorklifeBalance2]" caption="WorklifeBalance2" attribute="1" defaultMemberUniqueName="[HR].[WorklifeBalance2].[All]" allUniqueName="[HR].[WorklifeBalance2].[All]" dimensionUniqueName="[HR]" displayFolder="" count="0" memberValueDatatype="130" unbalanced="0"/>
    <cacheHierarchy uniqueName="[Measures].[Employess left]" caption="Employess left" measure="1" displayFolder="" measureGroup="HR" count="0" oneField="1">
      <fieldsUsage count="1">
        <fieldUsage x="0"/>
      </fieldsUsage>
    </cacheHierarchy>
    <cacheHierarchy uniqueName="[Measures].[Total Employess]" caption="Total Employess" measure="1" displayFolder="" measureGroup="HR" count="0"/>
    <cacheHierarchy uniqueName="[Measures].[Attrition rate]" caption="Attrition rate" measure="1" displayFolder="" measureGroup="HR" count="0"/>
    <cacheHierarchy uniqueName="[Measures].[EMPLOYESS DOING OVERTIME]" caption="EMPLOYESS DOING OVERTIME" measure="1" displayFolder="" measureGroup="HR" count="0"/>
    <cacheHierarchy uniqueName="[Measures].[__XL_Count HR]" caption="__XL_Count HR" measure="1" displayFolder="" measureGroup="HR" count="0" hidden="1"/>
    <cacheHierarchy uniqueName="[Measures].[__No measures defined]" caption="__No measures defined" measure="1" displayFolder="" count="0" hidden="1"/>
    <cacheHierarchy uniqueName="[Measures].[Sum of Age]" caption="Sum of Age" measure="1" displayFolder="" measureGroup="HR" count="0" hidden="1">
      <extLst>
        <ext xmlns:x15="http://schemas.microsoft.com/office/spreadsheetml/2010/11/main" uri="{B97F6D7D-B522-45F9-BDA1-12C45D357490}">
          <x15:cacheHierarchy aggregatedColumn="0"/>
        </ext>
      </extLst>
    </cacheHierarchy>
    <cacheHierarchy uniqueName="[Measures].[Count of Age]" caption="Count of Age" measure="1" displayFolder="" measureGroup="HR"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HR" count="0" hidden="1">
      <extLst>
        <ext xmlns:x15="http://schemas.microsoft.com/office/spreadsheetml/2010/11/main" uri="{B97F6D7D-B522-45F9-BDA1-12C45D357490}">
          <x15:cacheHierarchy aggregatedColumn="7"/>
        </ext>
      </extLst>
    </cacheHierarchy>
    <cacheHierarchy uniqueName="[Measures].[Count of Attrition]" caption="Count of Attrition" measure="1" displayFolder="" measureGroup="HR" count="0" hidden="1">
      <extLst>
        <ext xmlns:x15="http://schemas.microsoft.com/office/spreadsheetml/2010/11/main" uri="{B97F6D7D-B522-45F9-BDA1-12C45D357490}">
          <x15:cacheHierarchy aggregatedColumn="1"/>
        </ext>
      </extLst>
    </cacheHierarchy>
    <cacheHierarchy uniqueName="[Measures].[Sum of Education]" caption="Sum of Education" measure="1" displayFolder="" measureGroup="HR" count="0" hidden="1">
      <extLst>
        <ext xmlns:x15="http://schemas.microsoft.com/office/spreadsheetml/2010/11/main" uri="{B97F6D7D-B522-45F9-BDA1-12C45D357490}">
          <x15:cacheHierarchy aggregatedColumn="4"/>
        </ext>
      </extLst>
    </cacheHierarchy>
    <cacheHierarchy uniqueName="[Measures].[Sum of JobSatisfaction]" caption="Sum of JobSatisfaction" measure="1" displayFolder="" measureGroup="HR" count="0" hidden="1">
      <extLst>
        <ext xmlns:x15="http://schemas.microsoft.com/office/spreadsheetml/2010/11/main" uri="{B97F6D7D-B522-45F9-BDA1-12C45D357490}">
          <x15:cacheHierarchy aggregatedColumn="9"/>
        </ext>
      </extLst>
    </cacheHierarchy>
    <cacheHierarchy uniqueName="[Measures].[Average of JobSatisfaction]" caption="Average of JobSatisfaction" measure="1" displayFolder="" measureGroup="HR" count="0" hidden="1">
      <extLst>
        <ext xmlns:x15="http://schemas.microsoft.com/office/spreadsheetml/2010/11/main" uri="{B97F6D7D-B522-45F9-BDA1-12C45D357490}">
          <x15:cacheHierarchy aggregatedColumn="9"/>
        </ext>
      </extLst>
    </cacheHierarchy>
    <cacheHierarchy uniqueName="[Measures].[Sum of WorkLifeBalance]" caption="Sum of WorkLifeBalance" measure="1" displayFolder="" measureGroup="HR" count="0" hidden="1">
      <extLst>
        <ext xmlns:x15="http://schemas.microsoft.com/office/spreadsheetml/2010/11/main" uri="{B97F6D7D-B522-45F9-BDA1-12C45D357490}">
          <x15:cacheHierarchy aggregatedColumn="14"/>
        </ext>
      </extLst>
    </cacheHierarchy>
    <cacheHierarchy uniqueName="[Measures].[Count of WorkLifeBalance]" caption="Count of WorkLifeBalance" measure="1" displayFolder="" measureGroup="HR" count="0" hidden="1">
      <extLst>
        <ext xmlns:x15="http://schemas.microsoft.com/office/spreadsheetml/2010/11/main" uri="{B97F6D7D-B522-45F9-BDA1-12C45D357490}">
          <x15:cacheHierarchy aggregatedColumn="14"/>
        </ext>
      </extLst>
    </cacheHierarchy>
    <cacheHierarchy uniqueName="[Measures].[Sum of EnvironmentSatisfaction]" caption="Sum of EnvironmentSatisfaction" measure="1" displayFolder="" measureGroup="HR" count="0" hidden="1">
      <extLst>
        <ext xmlns:x15="http://schemas.microsoft.com/office/spreadsheetml/2010/11/main" uri="{B97F6D7D-B522-45F9-BDA1-12C45D357490}">
          <x15:cacheHierarchy aggregatedColumn="6"/>
        </ext>
      </extLst>
    </cacheHierarchy>
    <cacheHierarchy uniqueName="[Measures].[Count of OverTime]" caption="Count of OverTime" measure="1" displayFolder="" measureGroup="HR" count="0" hidden="1">
      <extLst>
        <ext xmlns:x15="http://schemas.microsoft.com/office/spreadsheetml/2010/11/main" uri="{B97F6D7D-B522-45F9-BDA1-12C45D357490}">
          <x15:cacheHierarchy aggregatedColumn="12"/>
        </ext>
      </extLst>
    </cacheHierarchy>
    <cacheHierarchy uniqueName="[Measures].[Sum of PerformanceRating]" caption="Sum of PerformanceRating" measure="1" displayFolder="" measureGroup="HR" count="0" hidden="1">
      <extLst>
        <ext xmlns:x15="http://schemas.microsoft.com/office/spreadsheetml/2010/11/main" uri="{B97F6D7D-B522-45F9-BDA1-12C45D357490}">
          <x15:cacheHierarchy aggregatedColumn="13"/>
        </ext>
      </extLst>
    </cacheHierarchy>
    <cacheHierarchy uniqueName="[Measures].[Sum of MonthlyIncome]" caption="Sum of MonthlyIncome" measure="1" displayFolder="" measureGroup="HR" count="0" hidden="1">
      <extLst>
        <ext xmlns:x15="http://schemas.microsoft.com/office/spreadsheetml/2010/11/main" uri="{B97F6D7D-B522-45F9-BDA1-12C45D357490}">
          <x15:cacheHierarchy aggregatedColumn="11"/>
        </ext>
      </extLst>
    </cacheHierarchy>
    <cacheHierarchy uniqueName="[Measures].[Average of MonthlyIncome]" caption="Average of MonthlyIncome" measure="1" displayFolder="" measureGroup="HR" count="0" hidden="1">
      <extLst>
        <ext xmlns:x15="http://schemas.microsoft.com/office/spreadsheetml/2010/11/main" uri="{B97F6D7D-B522-45F9-BDA1-12C45D357490}">
          <x15:cacheHierarchy aggregatedColumn="11"/>
        </ext>
      </extLst>
    </cacheHierarchy>
  </cacheHierarchies>
  <kpis count="0"/>
  <dimensions count="2">
    <dimension name="HR" uniqueName="[HR]" caption="HR"/>
    <dimension measure="1" name="Measures" uniqueName="[Measures]" caption="Measures"/>
  </dimensions>
  <measureGroups count="1">
    <measureGroup name="HR" caption="HR"/>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Sekhar Rachaneni" refreshedDate="46144.401592939816" backgroundQuery="1" createdVersion="8" refreshedVersion="8" minRefreshableVersion="3" recordCount="0" supportSubquery="1" supportAdvancedDrill="1" xr:uid="{4ED85DF6-451F-4893-AC3B-A26B13916911}">
  <cacheSource type="external" connectionId="2"/>
  <cacheFields count="4">
    <cacheField name="[Measures].[Employess left]" caption="Employess left" numFmtId="0" hierarchy="16" level="32767"/>
    <cacheField name="[HR].[MaritalStatus].[MaritalStatus]" caption="MaritalStatus" numFmtId="0" hierarchy="10" level="1">
      <sharedItems count="3">
        <s v="Divorced"/>
        <s v="Married"/>
        <s v="Single"/>
      </sharedItems>
    </cacheField>
    <cacheField name="[Measures].[Total Employess]" caption="Total Employess" numFmtId="0" hierarchy="17" level="32767"/>
    <cacheField name="[HR].[Gender].[Gender]" caption="Gender" numFmtId="0" hierarchy="7" level="1">
      <sharedItems containsSemiMixedTypes="0" containsNonDate="0" containsString="0"/>
    </cacheField>
  </cacheFields>
  <cacheHierarchies count="36">
    <cacheHierarchy uniqueName="[HR].[Age]" caption="Age" attribute="1" defaultMemberUniqueName="[HR].[Age].[All]" allUniqueName="[HR].[Age].[All]" dimensionUniqueName="[HR]" displayFolder="" count="0" memberValueDatatype="20" unbalanced="0"/>
    <cacheHierarchy uniqueName="[HR].[Attrition]" caption="Attrition" attribute="1" defaultMemberUniqueName="[HR].[Attrition].[All]" allUniqueName="[HR].[Attrition].[All]" dimensionUniqueName="[HR]" displayFolder="" count="0" memberValueDatatype="130" unbalanced="0"/>
    <cacheHierarchy uniqueName="[HR].[BusinessTravel]" caption="BusinessTravel" attribute="1" defaultMemberUniqueName="[HR].[BusinessTravel].[All]" allUniqueName="[HR].[BusinessTravel].[All]" dimensionUniqueName="[HR]" displayFolder="" count="0" memberValueDatatype="130" unbalanced="0"/>
    <cacheHierarchy uniqueName="[HR].[Department]" caption="Department" attribute="1" defaultMemberUniqueName="[HR].[Department].[All]" allUniqueName="[HR].[Department].[All]" dimensionUniqueName="[HR]" displayFolder="" count="0" memberValueDatatype="130" unbalanced="0"/>
    <cacheHierarchy uniqueName="[HR].[Education]" caption="Education" attribute="1" defaultMemberUniqueName="[HR].[Education].[All]" allUniqueName="[HR].[Education].[All]" dimensionUniqueName="[HR]" displayFolder="" count="0" memberValueDatatype="20" unbalanced="0"/>
    <cacheHierarchy uniqueName="[HR].[EducationField]" caption="EducationField" attribute="1" defaultMemberUniqueName="[HR].[EducationField].[All]" allUniqueName="[HR].[EducationField].[All]" dimensionUniqueName="[HR]" displayFolder="" count="0" memberValueDatatype="130" unbalanced="0"/>
    <cacheHierarchy uniqueName="[HR].[EnvironmentSatisfaction]" caption="EnvironmentSatisfaction" attribute="1" defaultMemberUniqueName="[HR].[EnvironmentSatisfaction].[All]" allUniqueName="[HR].[EnvironmentSatisfaction].[All]" dimensionUniqueName="[HR]" displayFolder="" count="0" memberValueDatatype="20" unbalanced="0"/>
    <cacheHierarchy uniqueName="[HR].[Gender]" caption="Gender" attribute="1" defaultMemberUniqueName="[HR].[Gender].[All]" allUniqueName="[HR].[Gender].[All]" dimensionUniqueName="[HR]" displayFolder="" count="2" memberValueDatatype="130" unbalanced="0">
      <fieldsUsage count="2">
        <fieldUsage x="-1"/>
        <fieldUsage x="3"/>
      </fieldsUsage>
    </cacheHierarchy>
    <cacheHierarchy uniqueName="[HR].[JobRole]" caption="JobRole" attribute="1" defaultMemberUniqueName="[HR].[JobRole].[All]" allUniqueName="[HR].[JobRole].[All]" dimensionUniqueName="[HR]" displayFolder="" count="0" memberValueDatatype="130" unbalanced="0"/>
    <cacheHierarchy uniqueName="[HR].[JobSatisfaction]" caption="JobSatisfaction" attribute="1" defaultMemberUniqueName="[HR].[JobSatisfaction].[All]" allUniqueName="[HR].[JobSatisfaction].[All]" dimensionUniqueName="[HR]" displayFolder="" count="0" memberValueDatatype="20" unbalanced="0"/>
    <cacheHierarchy uniqueName="[HR].[MaritalStatus]" caption="MaritalStatus" attribute="1" defaultMemberUniqueName="[HR].[MaritalStatus].[All]" allUniqueName="[HR].[MaritalStatus].[All]" dimensionUniqueName="[HR]" displayFolder="" count="2" memberValueDatatype="130" unbalanced="0">
      <fieldsUsage count="2">
        <fieldUsage x="-1"/>
        <fieldUsage x="1"/>
      </fieldsUsage>
    </cacheHierarchy>
    <cacheHierarchy uniqueName="[HR].[MonthlyIncome]" caption="MonthlyIncome" attribute="1" defaultMemberUniqueName="[HR].[MonthlyIncome].[All]" allUniqueName="[HR].[MonthlyIncome].[All]" dimensionUniqueName="[HR]" displayFolder="" count="0" memberValueDatatype="20" unbalanced="0"/>
    <cacheHierarchy uniqueName="[HR].[OverTime]" caption="OverTime" attribute="1" defaultMemberUniqueName="[HR].[OverTime].[All]" allUniqueName="[HR].[OverTime].[All]" dimensionUniqueName="[HR]" displayFolder="" count="0" memberValueDatatype="130" unbalanced="0"/>
    <cacheHierarchy uniqueName="[HR].[PerformanceRating]" caption="PerformanceRating" attribute="1" defaultMemberUniqueName="[HR].[PerformanceRating].[All]" allUniqueName="[HR].[PerformanceRating].[All]" dimensionUniqueName="[HR]" displayFolder="" count="0" memberValueDatatype="20" unbalanced="0"/>
    <cacheHierarchy uniqueName="[HR].[WorkLifeBalance]" caption="WorkLifeBalance" attribute="1" defaultMemberUniqueName="[HR].[WorkLifeBalance].[All]" allUniqueName="[HR].[WorkLifeBalance].[All]" dimensionUniqueName="[HR]" displayFolder="" count="0" memberValueDatatype="20" unbalanced="0"/>
    <cacheHierarchy uniqueName="[HR].[WorklifeBalance2]" caption="WorklifeBalance2" attribute="1" defaultMemberUniqueName="[HR].[WorklifeBalance2].[All]" allUniqueName="[HR].[WorklifeBalance2].[All]" dimensionUniqueName="[HR]" displayFolder="" count="0" memberValueDatatype="130" unbalanced="0"/>
    <cacheHierarchy uniqueName="[Measures].[Employess left]" caption="Employess left" measure="1" displayFolder="" measureGroup="HR" count="0" oneField="1">
      <fieldsUsage count="1">
        <fieldUsage x="0"/>
      </fieldsUsage>
    </cacheHierarchy>
    <cacheHierarchy uniqueName="[Measures].[Total Employess]" caption="Total Employess" measure="1" displayFolder="" measureGroup="HR" count="0" oneField="1">
      <fieldsUsage count="1">
        <fieldUsage x="2"/>
      </fieldsUsage>
    </cacheHierarchy>
    <cacheHierarchy uniqueName="[Measures].[Attrition rate]" caption="Attrition rate" measure="1" displayFolder="" measureGroup="HR" count="0"/>
    <cacheHierarchy uniqueName="[Measures].[EMPLOYESS DOING OVERTIME]" caption="EMPLOYESS DOING OVERTIME" measure="1" displayFolder="" measureGroup="HR" count="0"/>
    <cacheHierarchy uniqueName="[Measures].[__XL_Count HR]" caption="__XL_Count HR" measure="1" displayFolder="" measureGroup="HR" count="0" hidden="1"/>
    <cacheHierarchy uniqueName="[Measures].[__No measures defined]" caption="__No measures defined" measure="1" displayFolder="" count="0" hidden="1"/>
    <cacheHierarchy uniqueName="[Measures].[Sum of Age]" caption="Sum of Age" measure="1" displayFolder="" measureGroup="HR" count="0" hidden="1">
      <extLst>
        <ext xmlns:x15="http://schemas.microsoft.com/office/spreadsheetml/2010/11/main" uri="{B97F6D7D-B522-45F9-BDA1-12C45D357490}">
          <x15:cacheHierarchy aggregatedColumn="0"/>
        </ext>
      </extLst>
    </cacheHierarchy>
    <cacheHierarchy uniqueName="[Measures].[Count of Age]" caption="Count of Age" measure="1" displayFolder="" measureGroup="HR"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HR" count="0" hidden="1">
      <extLst>
        <ext xmlns:x15="http://schemas.microsoft.com/office/spreadsheetml/2010/11/main" uri="{B97F6D7D-B522-45F9-BDA1-12C45D357490}">
          <x15:cacheHierarchy aggregatedColumn="7"/>
        </ext>
      </extLst>
    </cacheHierarchy>
    <cacheHierarchy uniqueName="[Measures].[Count of Attrition]" caption="Count of Attrition" measure="1" displayFolder="" measureGroup="HR" count="0" hidden="1">
      <extLst>
        <ext xmlns:x15="http://schemas.microsoft.com/office/spreadsheetml/2010/11/main" uri="{B97F6D7D-B522-45F9-BDA1-12C45D357490}">
          <x15:cacheHierarchy aggregatedColumn="1"/>
        </ext>
      </extLst>
    </cacheHierarchy>
    <cacheHierarchy uniqueName="[Measures].[Sum of Education]" caption="Sum of Education" measure="1" displayFolder="" measureGroup="HR" count="0" hidden="1">
      <extLst>
        <ext xmlns:x15="http://schemas.microsoft.com/office/spreadsheetml/2010/11/main" uri="{B97F6D7D-B522-45F9-BDA1-12C45D357490}">
          <x15:cacheHierarchy aggregatedColumn="4"/>
        </ext>
      </extLst>
    </cacheHierarchy>
    <cacheHierarchy uniqueName="[Measures].[Sum of JobSatisfaction]" caption="Sum of JobSatisfaction" measure="1" displayFolder="" measureGroup="HR" count="0" hidden="1">
      <extLst>
        <ext xmlns:x15="http://schemas.microsoft.com/office/spreadsheetml/2010/11/main" uri="{B97F6D7D-B522-45F9-BDA1-12C45D357490}">
          <x15:cacheHierarchy aggregatedColumn="9"/>
        </ext>
      </extLst>
    </cacheHierarchy>
    <cacheHierarchy uniqueName="[Measures].[Average of JobSatisfaction]" caption="Average of JobSatisfaction" measure="1" displayFolder="" measureGroup="HR" count="0" hidden="1">
      <extLst>
        <ext xmlns:x15="http://schemas.microsoft.com/office/spreadsheetml/2010/11/main" uri="{B97F6D7D-B522-45F9-BDA1-12C45D357490}">
          <x15:cacheHierarchy aggregatedColumn="9"/>
        </ext>
      </extLst>
    </cacheHierarchy>
    <cacheHierarchy uniqueName="[Measures].[Sum of WorkLifeBalance]" caption="Sum of WorkLifeBalance" measure="1" displayFolder="" measureGroup="HR" count="0" hidden="1">
      <extLst>
        <ext xmlns:x15="http://schemas.microsoft.com/office/spreadsheetml/2010/11/main" uri="{B97F6D7D-B522-45F9-BDA1-12C45D357490}">
          <x15:cacheHierarchy aggregatedColumn="14"/>
        </ext>
      </extLst>
    </cacheHierarchy>
    <cacheHierarchy uniqueName="[Measures].[Count of WorkLifeBalance]" caption="Count of WorkLifeBalance" measure="1" displayFolder="" measureGroup="HR" count="0" hidden="1">
      <extLst>
        <ext xmlns:x15="http://schemas.microsoft.com/office/spreadsheetml/2010/11/main" uri="{B97F6D7D-B522-45F9-BDA1-12C45D357490}">
          <x15:cacheHierarchy aggregatedColumn="14"/>
        </ext>
      </extLst>
    </cacheHierarchy>
    <cacheHierarchy uniqueName="[Measures].[Sum of EnvironmentSatisfaction]" caption="Sum of EnvironmentSatisfaction" measure="1" displayFolder="" measureGroup="HR" count="0" hidden="1">
      <extLst>
        <ext xmlns:x15="http://schemas.microsoft.com/office/spreadsheetml/2010/11/main" uri="{B97F6D7D-B522-45F9-BDA1-12C45D357490}">
          <x15:cacheHierarchy aggregatedColumn="6"/>
        </ext>
      </extLst>
    </cacheHierarchy>
    <cacheHierarchy uniqueName="[Measures].[Count of OverTime]" caption="Count of OverTime" measure="1" displayFolder="" measureGroup="HR" count="0" hidden="1">
      <extLst>
        <ext xmlns:x15="http://schemas.microsoft.com/office/spreadsheetml/2010/11/main" uri="{B97F6D7D-B522-45F9-BDA1-12C45D357490}">
          <x15:cacheHierarchy aggregatedColumn="12"/>
        </ext>
      </extLst>
    </cacheHierarchy>
    <cacheHierarchy uniqueName="[Measures].[Sum of PerformanceRating]" caption="Sum of PerformanceRating" measure="1" displayFolder="" measureGroup="HR" count="0" hidden="1">
      <extLst>
        <ext xmlns:x15="http://schemas.microsoft.com/office/spreadsheetml/2010/11/main" uri="{B97F6D7D-B522-45F9-BDA1-12C45D357490}">
          <x15:cacheHierarchy aggregatedColumn="13"/>
        </ext>
      </extLst>
    </cacheHierarchy>
    <cacheHierarchy uniqueName="[Measures].[Sum of MonthlyIncome]" caption="Sum of MonthlyIncome" measure="1" displayFolder="" measureGroup="HR" count="0" hidden="1">
      <extLst>
        <ext xmlns:x15="http://schemas.microsoft.com/office/spreadsheetml/2010/11/main" uri="{B97F6D7D-B522-45F9-BDA1-12C45D357490}">
          <x15:cacheHierarchy aggregatedColumn="11"/>
        </ext>
      </extLst>
    </cacheHierarchy>
    <cacheHierarchy uniqueName="[Measures].[Average of MonthlyIncome]" caption="Average of MonthlyIncome" measure="1" displayFolder="" measureGroup="HR" count="0" hidden="1">
      <extLst>
        <ext xmlns:x15="http://schemas.microsoft.com/office/spreadsheetml/2010/11/main" uri="{B97F6D7D-B522-45F9-BDA1-12C45D357490}">
          <x15:cacheHierarchy aggregatedColumn="11"/>
        </ext>
      </extLst>
    </cacheHierarchy>
  </cacheHierarchies>
  <kpis count="0"/>
  <dimensions count="2">
    <dimension name="HR" uniqueName="[HR]" caption="HR"/>
    <dimension measure="1" name="Measures" uniqueName="[Measures]" caption="Measures"/>
  </dimensions>
  <measureGroups count="1">
    <measureGroup name="HR" caption="HR"/>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Sekhar Rachaneni" refreshedDate="46144.401593634262" backgroundQuery="1" createdVersion="8" refreshedVersion="8" minRefreshableVersion="3" recordCount="0" supportSubquery="1" supportAdvancedDrill="1" xr:uid="{48ADF383-6A31-4027-97A3-3E8D25B8A51E}">
  <cacheSource type="external" connectionId="2"/>
  <cacheFields count="5">
    <cacheField name="[HR].[JobRole].[JobRole]" caption="JobRole" numFmtId="0" hierarchy="8" level="1">
      <sharedItems count="5">
        <s v="Human Resources"/>
        <s v="Laboratory Technician"/>
        <s v="Research Scientist"/>
        <s v="Sales Executive"/>
        <s v="Sales Representative"/>
      </sharedItems>
    </cacheField>
    <cacheField name="[Measures].[Employess left]" caption="Employess left" numFmtId="0" hierarchy="16" level="32767"/>
    <cacheField name="[HR].[WorklifeBalance2].[WorklifeBalance2]" caption="WorklifeBalance2" numFmtId="0" hierarchy="15" level="1">
      <sharedItems count="4">
        <s v="average"/>
        <s v="bad"/>
        <s v="good"/>
        <s v="moderate"/>
      </sharedItems>
    </cacheField>
    <cacheField name="[HR].[BusinessTravel].[BusinessTravel]" caption="BusinessTravel" numFmtId="0" hierarchy="2" level="1">
      <sharedItems count="3">
        <s v="Non-Travel"/>
        <s v="Travel_Frequently"/>
        <s v="Travel_Rarely"/>
      </sharedItems>
    </cacheField>
    <cacheField name="[HR].[Gender].[Gender]" caption="Gender" numFmtId="0" hierarchy="7" level="1">
      <sharedItems containsSemiMixedTypes="0" containsNonDate="0" containsString="0"/>
    </cacheField>
  </cacheFields>
  <cacheHierarchies count="36">
    <cacheHierarchy uniqueName="[HR].[Age]" caption="Age" attribute="1" defaultMemberUniqueName="[HR].[Age].[All]" allUniqueName="[HR].[Age].[All]" dimensionUniqueName="[HR]" displayFolder="" count="0" memberValueDatatype="20" unbalanced="0"/>
    <cacheHierarchy uniqueName="[HR].[Attrition]" caption="Attrition" attribute="1" defaultMemberUniqueName="[HR].[Attrition].[All]" allUniqueName="[HR].[Attrition].[All]" dimensionUniqueName="[HR]" displayFolder="" count="0" memberValueDatatype="130" unbalanced="0"/>
    <cacheHierarchy uniqueName="[HR].[BusinessTravel]" caption="BusinessTravel" attribute="1" defaultMemberUniqueName="[HR].[BusinessTravel].[All]" allUniqueName="[HR].[BusinessTravel].[All]" dimensionUniqueName="[HR]" displayFolder="" count="2" memberValueDatatype="130" unbalanced="0">
      <fieldsUsage count="2">
        <fieldUsage x="-1"/>
        <fieldUsage x="3"/>
      </fieldsUsage>
    </cacheHierarchy>
    <cacheHierarchy uniqueName="[HR].[Department]" caption="Department" attribute="1" defaultMemberUniqueName="[HR].[Department].[All]" allUniqueName="[HR].[Department].[All]" dimensionUniqueName="[HR]" displayFolder="" count="0" memberValueDatatype="130" unbalanced="0"/>
    <cacheHierarchy uniqueName="[HR].[Education]" caption="Education" attribute="1" defaultMemberUniqueName="[HR].[Education].[All]" allUniqueName="[HR].[Education].[All]" dimensionUniqueName="[HR]" displayFolder="" count="0" memberValueDatatype="20" unbalanced="0"/>
    <cacheHierarchy uniqueName="[HR].[EducationField]" caption="EducationField" attribute="1" defaultMemberUniqueName="[HR].[EducationField].[All]" allUniqueName="[HR].[EducationField].[All]" dimensionUniqueName="[HR]" displayFolder="" count="0" memberValueDatatype="130" unbalanced="0"/>
    <cacheHierarchy uniqueName="[HR].[EnvironmentSatisfaction]" caption="EnvironmentSatisfaction" attribute="1" defaultMemberUniqueName="[HR].[EnvironmentSatisfaction].[All]" allUniqueName="[HR].[EnvironmentSatisfaction].[All]" dimensionUniqueName="[HR]" displayFolder="" count="0" memberValueDatatype="20" unbalanced="0"/>
    <cacheHierarchy uniqueName="[HR].[Gender]" caption="Gender" attribute="1" defaultMemberUniqueName="[HR].[Gender].[All]" allUniqueName="[HR].[Gender].[All]" dimensionUniqueName="[HR]" displayFolder="" count="2" memberValueDatatype="130" unbalanced="0">
      <fieldsUsage count="2">
        <fieldUsage x="-1"/>
        <fieldUsage x="4"/>
      </fieldsUsage>
    </cacheHierarchy>
    <cacheHierarchy uniqueName="[HR].[JobRole]" caption="JobRole" attribute="1" defaultMemberUniqueName="[HR].[JobRole].[All]" allUniqueName="[HR].[JobRole].[All]" dimensionUniqueName="[HR]" displayFolder="" count="2" memberValueDatatype="130" unbalanced="0">
      <fieldsUsage count="2">
        <fieldUsage x="-1"/>
        <fieldUsage x="0"/>
      </fieldsUsage>
    </cacheHierarchy>
    <cacheHierarchy uniqueName="[HR].[JobSatisfaction]" caption="JobSatisfaction" attribute="1" defaultMemberUniqueName="[HR].[JobSatisfaction].[All]" allUniqueName="[HR].[JobSatisfaction].[All]" dimensionUniqueName="[HR]" displayFolder="" count="0" memberValueDatatype="20" unbalanced="0"/>
    <cacheHierarchy uniqueName="[HR].[MaritalStatus]" caption="MaritalStatus" attribute="1" defaultMemberUniqueName="[HR].[MaritalStatus].[All]" allUniqueName="[HR].[MaritalStatus].[All]" dimensionUniqueName="[HR]" displayFolder="" count="0" memberValueDatatype="130" unbalanced="0"/>
    <cacheHierarchy uniqueName="[HR].[MonthlyIncome]" caption="MonthlyIncome" attribute="1" defaultMemberUniqueName="[HR].[MonthlyIncome].[All]" allUniqueName="[HR].[MonthlyIncome].[All]" dimensionUniqueName="[HR]" displayFolder="" count="0" memberValueDatatype="20" unbalanced="0"/>
    <cacheHierarchy uniqueName="[HR].[OverTime]" caption="OverTime" attribute="1" defaultMemberUniqueName="[HR].[OverTime].[All]" allUniqueName="[HR].[OverTime].[All]" dimensionUniqueName="[HR]" displayFolder="" count="0" memberValueDatatype="130" unbalanced="0"/>
    <cacheHierarchy uniqueName="[HR].[PerformanceRating]" caption="PerformanceRating" attribute="1" defaultMemberUniqueName="[HR].[PerformanceRating].[All]" allUniqueName="[HR].[PerformanceRating].[All]" dimensionUniqueName="[HR]" displayFolder="" count="0" memberValueDatatype="20" unbalanced="0"/>
    <cacheHierarchy uniqueName="[HR].[WorkLifeBalance]" caption="WorkLifeBalance" attribute="1" defaultMemberUniqueName="[HR].[WorkLifeBalance].[All]" allUniqueName="[HR].[WorkLifeBalance].[All]" dimensionUniqueName="[HR]" displayFolder="" count="0" memberValueDatatype="20" unbalanced="0"/>
    <cacheHierarchy uniqueName="[HR].[WorklifeBalance2]" caption="WorklifeBalance2" attribute="1" defaultMemberUniqueName="[HR].[WorklifeBalance2].[All]" allUniqueName="[HR].[WorklifeBalance2].[All]" dimensionUniqueName="[HR]" displayFolder="" count="2" memberValueDatatype="130" unbalanced="0">
      <fieldsUsage count="2">
        <fieldUsage x="-1"/>
        <fieldUsage x="2"/>
      </fieldsUsage>
    </cacheHierarchy>
    <cacheHierarchy uniqueName="[Measures].[Employess left]" caption="Employess left" measure="1" displayFolder="" measureGroup="HR" count="0" oneField="1">
      <fieldsUsage count="1">
        <fieldUsage x="1"/>
      </fieldsUsage>
    </cacheHierarchy>
    <cacheHierarchy uniqueName="[Measures].[Total Employess]" caption="Total Employess" measure="1" displayFolder="" measureGroup="HR" count="0"/>
    <cacheHierarchy uniqueName="[Measures].[Attrition rate]" caption="Attrition rate" measure="1" displayFolder="" measureGroup="HR" count="0"/>
    <cacheHierarchy uniqueName="[Measures].[EMPLOYESS DOING OVERTIME]" caption="EMPLOYESS DOING OVERTIME" measure="1" displayFolder="" measureGroup="HR" count="0"/>
    <cacheHierarchy uniqueName="[Measures].[__XL_Count HR]" caption="__XL_Count HR" measure="1" displayFolder="" measureGroup="HR" count="0" hidden="1"/>
    <cacheHierarchy uniqueName="[Measures].[__No measures defined]" caption="__No measures defined" measure="1" displayFolder="" count="0" hidden="1"/>
    <cacheHierarchy uniqueName="[Measures].[Sum of Age]" caption="Sum of Age" measure="1" displayFolder="" measureGroup="HR" count="0" hidden="1">
      <extLst>
        <ext xmlns:x15="http://schemas.microsoft.com/office/spreadsheetml/2010/11/main" uri="{B97F6D7D-B522-45F9-BDA1-12C45D357490}">
          <x15:cacheHierarchy aggregatedColumn="0"/>
        </ext>
      </extLst>
    </cacheHierarchy>
    <cacheHierarchy uniqueName="[Measures].[Count of Age]" caption="Count of Age" measure="1" displayFolder="" measureGroup="HR"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HR" count="0" hidden="1">
      <extLst>
        <ext xmlns:x15="http://schemas.microsoft.com/office/spreadsheetml/2010/11/main" uri="{B97F6D7D-B522-45F9-BDA1-12C45D357490}">
          <x15:cacheHierarchy aggregatedColumn="7"/>
        </ext>
      </extLst>
    </cacheHierarchy>
    <cacheHierarchy uniqueName="[Measures].[Count of Attrition]" caption="Count of Attrition" measure="1" displayFolder="" measureGroup="HR" count="0" hidden="1">
      <extLst>
        <ext xmlns:x15="http://schemas.microsoft.com/office/spreadsheetml/2010/11/main" uri="{B97F6D7D-B522-45F9-BDA1-12C45D357490}">
          <x15:cacheHierarchy aggregatedColumn="1"/>
        </ext>
      </extLst>
    </cacheHierarchy>
    <cacheHierarchy uniqueName="[Measures].[Sum of Education]" caption="Sum of Education" measure="1" displayFolder="" measureGroup="HR" count="0" hidden="1">
      <extLst>
        <ext xmlns:x15="http://schemas.microsoft.com/office/spreadsheetml/2010/11/main" uri="{B97F6D7D-B522-45F9-BDA1-12C45D357490}">
          <x15:cacheHierarchy aggregatedColumn="4"/>
        </ext>
      </extLst>
    </cacheHierarchy>
    <cacheHierarchy uniqueName="[Measures].[Sum of JobSatisfaction]" caption="Sum of JobSatisfaction" measure="1" displayFolder="" measureGroup="HR" count="0" hidden="1">
      <extLst>
        <ext xmlns:x15="http://schemas.microsoft.com/office/spreadsheetml/2010/11/main" uri="{B97F6D7D-B522-45F9-BDA1-12C45D357490}">
          <x15:cacheHierarchy aggregatedColumn="9"/>
        </ext>
      </extLst>
    </cacheHierarchy>
    <cacheHierarchy uniqueName="[Measures].[Average of JobSatisfaction]" caption="Average of JobSatisfaction" measure="1" displayFolder="" measureGroup="HR" count="0" hidden="1">
      <extLst>
        <ext xmlns:x15="http://schemas.microsoft.com/office/spreadsheetml/2010/11/main" uri="{B97F6D7D-B522-45F9-BDA1-12C45D357490}">
          <x15:cacheHierarchy aggregatedColumn="9"/>
        </ext>
      </extLst>
    </cacheHierarchy>
    <cacheHierarchy uniqueName="[Measures].[Sum of WorkLifeBalance]" caption="Sum of WorkLifeBalance" measure="1" displayFolder="" measureGroup="HR" count="0" hidden="1">
      <extLst>
        <ext xmlns:x15="http://schemas.microsoft.com/office/spreadsheetml/2010/11/main" uri="{B97F6D7D-B522-45F9-BDA1-12C45D357490}">
          <x15:cacheHierarchy aggregatedColumn="14"/>
        </ext>
      </extLst>
    </cacheHierarchy>
    <cacheHierarchy uniqueName="[Measures].[Count of WorkLifeBalance]" caption="Count of WorkLifeBalance" measure="1" displayFolder="" measureGroup="HR" count="0" hidden="1">
      <extLst>
        <ext xmlns:x15="http://schemas.microsoft.com/office/spreadsheetml/2010/11/main" uri="{B97F6D7D-B522-45F9-BDA1-12C45D357490}">
          <x15:cacheHierarchy aggregatedColumn="14"/>
        </ext>
      </extLst>
    </cacheHierarchy>
    <cacheHierarchy uniqueName="[Measures].[Sum of EnvironmentSatisfaction]" caption="Sum of EnvironmentSatisfaction" measure="1" displayFolder="" measureGroup="HR" count="0" hidden="1">
      <extLst>
        <ext xmlns:x15="http://schemas.microsoft.com/office/spreadsheetml/2010/11/main" uri="{B97F6D7D-B522-45F9-BDA1-12C45D357490}">
          <x15:cacheHierarchy aggregatedColumn="6"/>
        </ext>
      </extLst>
    </cacheHierarchy>
    <cacheHierarchy uniqueName="[Measures].[Count of OverTime]" caption="Count of OverTime" measure="1" displayFolder="" measureGroup="HR" count="0" hidden="1">
      <extLst>
        <ext xmlns:x15="http://schemas.microsoft.com/office/spreadsheetml/2010/11/main" uri="{B97F6D7D-B522-45F9-BDA1-12C45D357490}">
          <x15:cacheHierarchy aggregatedColumn="12"/>
        </ext>
      </extLst>
    </cacheHierarchy>
    <cacheHierarchy uniqueName="[Measures].[Sum of PerformanceRating]" caption="Sum of PerformanceRating" measure="1" displayFolder="" measureGroup="HR" count="0" hidden="1">
      <extLst>
        <ext xmlns:x15="http://schemas.microsoft.com/office/spreadsheetml/2010/11/main" uri="{B97F6D7D-B522-45F9-BDA1-12C45D357490}">
          <x15:cacheHierarchy aggregatedColumn="13"/>
        </ext>
      </extLst>
    </cacheHierarchy>
    <cacheHierarchy uniqueName="[Measures].[Sum of MonthlyIncome]" caption="Sum of MonthlyIncome" measure="1" displayFolder="" measureGroup="HR" count="0" hidden="1">
      <extLst>
        <ext xmlns:x15="http://schemas.microsoft.com/office/spreadsheetml/2010/11/main" uri="{B97F6D7D-B522-45F9-BDA1-12C45D357490}">
          <x15:cacheHierarchy aggregatedColumn="11"/>
        </ext>
      </extLst>
    </cacheHierarchy>
    <cacheHierarchy uniqueName="[Measures].[Average of MonthlyIncome]" caption="Average of MonthlyIncome" measure="1" displayFolder="" measureGroup="HR" count="0" hidden="1">
      <extLst>
        <ext xmlns:x15="http://schemas.microsoft.com/office/spreadsheetml/2010/11/main" uri="{B97F6D7D-B522-45F9-BDA1-12C45D357490}">
          <x15:cacheHierarchy aggregatedColumn="11"/>
        </ext>
      </extLst>
    </cacheHierarchy>
  </cacheHierarchies>
  <kpis count="0"/>
  <dimensions count="2">
    <dimension name="HR" uniqueName="[HR]" caption="HR"/>
    <dimension measure="1" name="Measures" uniqueName="[Measures]" caption="Measures"/>
  </dimensions>
  <measureGroups count="1">
    <measureGroup name="HR" caption="HR"/>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Sekhar Rachaneni" refreshedDate="46144.401594675925" backgroundQuery="1" createdVersion="8" refreshedVersion="8" minRefreshableVersion="3" recordCount="0" supportSubquery="1" supportAdvancedDrill="1" xr:uid="{3C4A6D02-3591-4181-8C6B-B111C766DD4E}">
  <cacheSource type="external" connectionId="2"/>
  <cacheFields count="4">
    <cacheField name="[Measures].[Employess left]" caption="Employess left" numFmtId="0" hierarchy="16" level="32767"/>
    <cacheField name="[HR].[EducationField].[EducationField]" caption="EducationField" numFmtId="0" hierarchy="5" level="1">
      <sharedItems count="6">
        <s v="Human Resources"/>
        <s v="Life Sciences"/>
        <s v="Marketing"/>
        <s v="Medical"/>
        <s v="Other"/>
        <s v="Technical Degree"/>
      </sharedItems>
    </cacheField>
    <cacheField name="[HR].[PerformanceRating].[PerformanceRating]" caption="PerformanceRating" numFmtId="0" hierarchy="13" level="1">
      <sharedItems containsSemiMixedTypes="0" containsString="0" containsNumber="1" containsInteger="1" minValue="3" maxValue="4" count="2">
        <n v="3"/>
        <n v="4"/>
      </sharedItems>
      <extLst>
        <ext xmlns:x15="http://schemas.microsoft.com/office/spreadsheetml/2010/11/main" uri="{4F2E5C28-24EA-4eb8-9CBF-B6C8F9C3D259}">
          <x15:cachedUniqueNames>
            <x15:cachedUniqueName index="0" name="[HR].[PerformanceRating].&amp;[3]"/>
            <x15:cachedUniqueName index="1" name="[HR].[PerformanceRating].&amp;[4]"/>
          </x15:cachedUniqueNames>
        </ext>
      </extLst>
    </cacheField>
    <cacheField name="[HR].[Gender].[Gender]" caption="Gender" numFmtId="0" hierarchy="7" level="1">
      <sharedItems containsSemiMixedTypes="0" containsNonDate="0" containsString="0"/>
    </cacheField>
  </cacheFields>
  <cacheHierarchies count="36">
    <cacheHierarchy uniqueName="[HR].[Age]" caption="Age" attribute="1" defaultMemberUniqueName="[HR].[Age].[All]" allUniqueName="[HR].[Age].[All]" dimensionUniqueName="[HR]" displayFolder="" count="0" memberValueDatatype="20" unbalanced="0"/>
    <cacheHierarchy uniqueName="[HR].[Attrition]" caption="Attrition" attribute="1" defaultMemberUniqueName="[HR].[Attrition].[All]" allUniqueName="[HR].[Attrition].[All]" dimensionUniqueName="[HR]" displayFolder="" count="0" memberValueDatatype="130" unbalanced="0"/>
    <cacheHierarchy uniqueName="[HR].[BusinessTravel]" caption="BusinessTravel" attribute="1" defaultMemberUniqueName="[HR].[BusinessTravel].[All]" allUniqueName="[HR].[BusinessTravel].[All]" dimensionUniqueName="[HR]" displayFolder="" count="0" memberValueDatatype="130" unbalanced="0"/>
    <cacheHierarchy uniqueName="[HR].[Department]" caption="Department" attribute="1" defaultMemberUniqueName="[HR].[Department].[All]" allUniqueName="[HR].[Department].[All]" dimensionUniqueName="[HR]" displayFolder="" count="0" memberValueDatatype="130" unbalanced="0"/>
    <cacheHierarchy uniqueName="[HR].[Education]" caption="Education" attribute="1" defaultMemberUniqueName="[HR].[Education].[All]" allUniqueName="[HR].[Education].[All]" dimensionUniqueName="[HR]" displayFolder="" count="0" memberValueDatatype="20" unbalanced="0"/>
    <cacheHierarchy uniqueName="[HR].[EducationField]" caption="EducationField" attribute="1" defaultMemberUniqueName="[HR].[EducationField].[All]" allUniqueName="[HR].[EducationField].[All]" dimensionUniqueName="[HR]" displayFolder="" count="2" memberValueDatatype="130" unbalanced="0">
      <fieldsUsage count="2">
        <fieldUsage x="-1"/>
        <fieldUsage x="1"/>
      </fieldsUsage>
    </cacheHierarchy>
    <cacheHierarchy uniqueName="[HR].[EnvironmentSatisfaction]" caption="EnvironmentSatisfaction" attribute="1" defaultMemberUniqueName="[HR].[EnvironmentSatisfaction].[All]" allUniqueName="[HR].[EnvironmentSatisfaction].[All]" dimensionUniqueName="[HR]" displayFolder="" count="0" memberValueDatatype="20" unbalanced="0"/>
    <cacheHierarchy uniqueName="[HR].[Gender]" caption="Gender" attribute="1" defaultMemberUniqueName="[HR].[Gender].[All]" allUniqueName="[HR].[Gender].[All]" dimensionUniqueName="[HR]" displayFolder="" count="2" memberValueDatatype="130" unbalanced="0">
      <fieldsUsage count="2">
        <fieldUsage x="-1"/>
        <fieldUsage x="3"/>
      </fieldsUsage>
    </cacheHierarchy>
    <cacheHierarchy uniqueName="[HR].[JobRole]" caption="JobRole" attribute="1" defaultMemberUniqueName="[HR].[JobRole].[All]" allUniqueName="[HR].[JobRole].[All]" dimensionUniqueName="[HR]" displayFolder="" count="0" memberValueDatatype="130" unbalanced="0"/>
    <cacheHierarchy uniqueName="[HR].[JobSatisfaction]" caption="JobSatisfaction" attribute="1" defaultMemberUniqueName="[HR].[JobSatisfaction].[All]" allUniqueName="[HR].[JobSatisfaction].[All]" dimensionUniqueName="[HR]" displayFolder="" count="0" memberValueDatatype="20" unbalanced="0"/>
    <cacheHierarchy uniqueName="[HR].[MaritalStatus]" caption="MaritalStatus" attribute="1" defaultMemberUniqueName="[HR].[MaritalStatus].[All]" allUniqueName="[HR].[MaritalStatus].[All]" dimensionUniqueName="[HR]" displayFolder="" count="0" memberValueDatatype="130" unbalanced="0"/>
    <cacheHierarchy uniqueName="[HR].[MonthlyIncome]" caption="MonthlyIncome" attribute="1" defaultMemberUniqueName="[HR].[MonthlyIncome].[All]" allUniqueName="[HR].[MonthlyIncome].[All]" dimensionUniqueName="[HR]" displayFolder="" count="0" memberValueDatatype="20" unbalanced="0"/>
    <cacheHierarchy uniqueName="[HR].[OverTime]" caption="OverTime" attribute="1" defaultMemberUniqueName="[HR].[OverTime].[All]" allUniqueName="[HR].[OverTime].[All]" dimensionUniqueName="[HR]" displayFolder="" count="0" memberValueDatatype="130" unbalanced="0"/>
    <cacheHierarchy uniqueName="[HR].[PerformanceRating]" caption="PerformanceRating" attribute="1" defaultMemberUniqueName="[HR].[PerformanceRating].[All]" allUniqueName="[HR].[PerformanceRating].[All]" dimensionUniqueName="[HR]" displayFolder="" count="2" memberValueDatatype="20" unbalanced="0">
      <fieldsUsage count="2">
        <fieldUsage x="-1"/>
        <fieldUsage x="2"/>
      </fieldsUsage>
    </cacheHierarchy>
    <cacheHierarchy uniqueName="[HR].[WorkLifeBalance]" caption="WorkLifeBalance" attribute="1" defaultMemberUniqueName="[HR].[WorkLifeBalance].[All]" allUniqueName="[HR].[WorkLifeBalance].[All]" dimensionUniqueName="[HR]" displayFolder="" count="0" memberValueDatatype="20" unbalanced="0"/>
    <cacheHierarchy uniqueName="[HR].[WorklifeBalance2]" caption="WorklifeBalance2" attribute="1" defaultMemberUniqueName="[HR].[WorklifeBalance2].[All]" allUniqueName="[HR].[WorklifeBalance2].[All]" dimensionUniqueName="[HR]" displayFolder="" count="0" memberValueDatatype="130" unbalanced="0"/>
    <cacheHierarchy uniqueName="[Measures].[Employess left]" caption="Employess left" measure="1" displayFolder="" measureGroup="HR" count="0" oneField="1">
      <fieldsUsage count="1">
        <fieldUsage x="0"/>
      </fieldsUsage>
    </cacheHierarchy>
    <cacheHierarchy uniqueName="[Measures].[Total Employess]" caption="Total Employess" measure="1" displayFolder="" measureGroup="HR" count="0"/>
    <cacheHierarchy uniqueName="[Measures].[Attrition rate]" caption="Attrition rate" measure="1" displayFolder="" measureGroup="HR" count="0"/>
    <cacheHierarchy uniqueName="[Measures].[EMPLOYESS DOING OVERTIME]" caption="EMPLOYESS DOING OVERTIME" measure="1" displayFolder="" measureGroup="HR" count="0"/>
    <cacheHierarchy uniqueName="[Measures].[__XL_Count HR]" caption="__XL_Count HR" measure="1" displayFolder="" measureGroup="HR" count="0" hidden="1"/>
    <cacheHierarchy uniqueName="[Measures].[__No measures defined]" caption="__No measures defined" measure="1" displayFolder="" count="0" hidden="1"/>
    <cacheHierarchy uniqueName="[Measures].[Sum of Age]" caption="Sum of Age" measure="1" displayFolder="" measureGroup="HR" count="0" hidden="1">
      <extLst>
        <ext xmlns:x15="http://schemas.microsoft.com/office/spreadsheetml/2010/11/main" uri="{B97F6D7D-B522-45F9-BDA1-12C45D357490}">
          <x15:cacheHierarchy aggregatedColumn="0"/>
        </ext>
      </extLst>
    </cacheHierarchy>
    <cacheHierarchy uniqueName="[Measures].[Count of Age]" caption="Count of Age" measure="1" displayFolder="" measureGroup="HR"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HR" count="0" hidden="1">
      <extLst>
        <ext xmlns:x15="http://schemas.microsoft.com/office/spreadsheetml/2010/11/main" uri="{B97F6D7D-B522-45F9-BDA1-12C45D357490}">
          <x15:cacheHierarchy aggregatedColumn="7"/>
        </ext>
      </extLst>
    </cacheHierarchy>
    <cacheHierarchy uniqueName="[Measures].[Count of Attrition]" caption="Count of Attrition" measure="1" displayFolder="" measureGroup="HR" count="0" hidden="1">
      <extLst>
        <ext xmlns:x15="http://schemas.microsoft.com/office/spreadsheetml/2010/11/main" uri="{B97F6D7D-B522-45F9-BDA1-12C45D357490}">
          <x15:cacheHierarchy aggregatedColumn="1"/>
        </ext>
      </extLst>
    </cacheHierarchy>
    <cacheHierarchy uniqueName="[Measures].[Sum of Education]" caption="Sum of Education" measure="1" displayFolder="" measureGroup="HR" count="0" hidden="1">
      <extLst>
        <ext xmlns:x15="http://schemas.microsoft.com/office/spreadsheetml/2010/11/main" uri="{B97F6D7D-B522-45F9-BDA1-12C45D357490}">
          <x15:cacheHierarchy aggregatedColumn="4"/>
        </ext>
      </extLst>
    </cacheHierarchy>
    <cacheHierarchy uniqueName="[Measures].[Sum of JobSatisfaction]" caption="Sum of JobSatisfaction" measure="1" displayFolder="" measureGroup="HR" count="0" hidden="1">
      <extLst>
        <ext xmlns:x15="http://schemas.microsoft.com/office/spreadsheetml/2010/11/main" uri="{B97F6D7D-B522-45F9-BDA1-12C45D357490}">
          <x15:cacheHierarchy aggregatedColumn="9"/>
        </ext>
      </extLst>
    </cacheHierarchy>
    <cacheHierarchy uniqueName="[Measures].[Average of JobSatisfaction]" caption="Average of JobSatisfaction" measure="1" displayFolder="" measureGroup="HR" count="0" hidden="1">
      <extLst>
        <ext xmlns:x15="http://schemas.microsoft.com/office/spreadsheetml/2010/11/main" uri="{B97F6D7D-B522-45F9-BDA1-12C45D357490}">
          <x15:cacheHierarchy aggregatedColumn="9"/>
        </ext>
      </extLst>
    </cacheHierarchy>
    <cacheHierarchy uniqueName="[Measures].[Sum of WorkLifeBalance]" caption="Sum of WorkLifeBalance" measure="1" displayFolder="" measureGroup="HR" count="0" hidden="1">
      <extLst>
        <ext xmlns:x15="http://schemas.microsoft.com/office/spreadsheetml/2010/11/main" uri="{B97F6D7D-B522-45F9-BDA1-12C45D357490}">
          <x15:cacheHierarchy aggregatedColumn="14"/>
        </ext>
      </extLst>
    </cacheHierarchy>
    <cacheHierarchy uniqueName="[Measures].[Count of WorkLifeBalance]" caption="Count of WorkLifeBalance" measure="1" displayFolder="" measureGroup="HR" count="0" hidden="1">
      <extLst>
        <ext xmlns:x15="http://schemas.microsoft.com/office/spreadsheetml/2010/11/main" uri="{B97F6D7D-B522-45F9-BDA1-12C45D357490}">
          <x15:cacheHierarchy aggregatedColumn="14"/>
        </ext>
      </extLst>
    </cacheHierarchy>
    <cacheHierarchy uniqueName="[Measures].[Sum of EnvironmentSatisfaction]" caption="Sum of EnvironmentSatisfaction" measure="1" displayFolder="" measureGroup="HR" count="0" hidden="1">
      <extLst>
        <ext xmlns:x15="http://schemas.microsoft.com/office/spreadsheetml/2010/11/main" uri="{B97F6D7D-B522-45F9-BDA1-12C45D357490}">
          <x15:cacheHierarchy aggregatedColumn="6"/>
        </ext>
      </extLst>
    </cacheHierarchy>
    <cacheHierarchy uniqueName="[Measures].[Count of OverTime]" caption="Count of OverTime" measure="1" displayFolder="" measureGroup="HR" count="0" hidden="1">
      <extLst>
        <ext xmlns:x15="http://schemas.microsoft.com/office/spreadsheetml/2010/11/main" uri="{B97F6D7D-B522-45F9-BDA1-12C45D357490}">
          <x15:cacheHierarchy aggregatedColumn="12"/>
        </ext>
      </extLst>
    </cacheHierarchy>
    <cacheHierarchy uniqueName="[Measures].[Sum of PerformanceRating]" caption="Sum of PerformanceRating" measure="1" displayFolder="" measureGroup="HR" count="0" hidden="1">
      <extLst>
        <ext xmlns:x15="http://schemas.microsoft.com/office/spreadsheetml/2010/11/main" uri="{B97F6D7D-B522-45F9-BDA1-12C45D357490}">
          <x15:cacheHierarchy aggregatedColumn="13"/>
        </ext>
      </extLst>
    </cacheHierarchy>
    <cacheHierarchy uniqueName="[Measures].[Sum of MonthlyIncome]" caption="Sum of MonthlyIncome" measure="1" displayFolder="" measureGroup="HR" count="0" hidden="1">
      <extLst>
        <ext xmlns:x15="http://schemas.microsoft.com/office/spreadsheetml/2010/11/main" uri="{B97F6D7D-B522-45F9-BDA1-12C45D357490}">
          <x15:cacheHierarchy aggregatedColumn="11"/>
        </ext>
      </extLst>
    </cacheHierarchy>
    <cacheHierarchy uniqueName="[Measures].[Average of MonthlyIncome]" caption="Average of MonthlyIncome" measure="1" displayFolder="" measureGroup="HR" count="0" hidden="1">
      <extLst>
        <ext xmlns:x15="http://schemas.microsoft.com/office/spreadsheetml/2010/11/main" uri="{B97F6D7D-B522-45F9-BDA1-12C45D357490}">
          <x15:cacheHierarchy aggregatedColumn="11"/>
        </ext>
      </extLst>
    </cacheHierarchy>
  </cacheHierarchies>
  <kpis count="0"/>
  <dimensions count="2">
    <dimension name="HR" uniqueName="[HR]" caption="HR"/>
    <dimension measure="1" name="Measures" uniqueName="[Measures]" caption="Measures"/>
  </dimensions>
  <measureGroups count="1">
    <measureGroup name="HR" caption="HR"/>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Sekhar Rachaneni" refreshedDate="46144.40159548611" backgroundQuery="1" createdVersion="8" refreshedVersion="8" minRefreshableVersion="3" recordCount="0" supportSubquery="1" supportAdvancedDrill="1" xr:uid="{17AC70F0-A961-4524-A2DD-7CBED8250269}">
  <cacheSource type="external" connectionId="2"/>
  <cacheFields count="3">
    <cacheField name="[HR].[OverTime].[OverTime]" caption="OverTime" numFmtId="0" hierarchy="12" level="1">
      <sharedItems count="2">
        <s v="No"/>
        <s v="Yes"/>
      </sharedItems>
    </cacheField>
    <cacheField name="[Measures].[Employess left]" caption="Employess left" numFmtId="0" hierarchy="16" level="32767"/>
    <cacheField name="[HR].[Gender].[Gender]" caption="Gender" numFmtId="0" hierarchy="7" level="1">
      <sharedItems containsSemiMixedTypes="0" containsNonDate="0" containsString="0"/>
    </cacheField>
  </cacheFields>
  <cacheHierarchies count="36">
    <cacheHierarchy uniqueName="[HR].[Age]" caption="Age" attribute="1" defaultMemberUniqueName="[HR].[Age].[All]" allUniqueName="[HR].[Age].[All]" dimensionUniqueName="[HR]" displayFolder="" count="0" memberValueDatatype="20" unbalanced="0"/>
    <cacheHierarchy uniqueName="[HR].[Attrition]" caption="Attrition" attribute="1" defaultMemberUniqueName="[HR].[Attrition].[All]" allUniqueName="[HR].[Attrition].[All]" dimensionUniqueName="[HR]" displayFolder="" count="0" memberValueDatatype="130" unbalanced="0"/>
    <cacheHierarchy uniqueName="[HR].[BusinessTravel]" caption="BusinessTravel" attribute="1" defaultMemberUniqueName="[HR].[BusinessTravel].[All]" allUniqueName="[HR].[BusinessTravel].[All]" dimensionUniqueName="[HR]" displayFolder="" count="0" memberValueDatatype="130" unbalanced="0"/>
    <cacheHierarchy uniqueName="[HR].[Department]" caption="Department" attribute="1" defaultMemberUniqueName="[HR].[Department].[All]" allUniqueName="[HR].[Department].[All]" dimensionUniqueName="[HR]" displayFolder="" count="0" memberValueDatatype="130" unbalanced="0"/>
    <cacheHierarchy uniqueName="[HR].[Education]" caption="Education" attribute="1" defaultMemberUniqueName="[HR].[Education].[All]" allUniqueName="[HR].[Education].[All]" dimensionUniqueName="[HR]" displayFolder="" count="0" memberValueDatatype="20" unbalanced="0"/>
    <cacheHierarchy uniqueName="[HR].[EducationField]" caption="EducationField" attribute="1" defaultMemberUniqueName="[HR].[EducationField].[All]" allUniqueName="[HR].[EducationField].[All]" dimensionUniqueName="[HR]" displayFolder="" count="0" memberValueDatatype="130" unbalanced="0"/>
    <cacheHierarchy uniqueName="[HR].[EnvironmentSatisfaction]" caption="EnvironmentSatisfaction" attribute="1" defaultMemberUniqueName="[HR].[EnvironmentSatisfaction].[All]" allUniqueName="[HR].[EnvironmentSatisfaction].[All]" dimensionUniqueName="[HR]" displayFolder="" count="0" memberValueDatatype="20" unbalanced="0"/>
    <cacheHierarchy uniqueName="[HR].[Gender]" caption="Gender" attribute="1" defaultMemberUniqueName="[HR].[Gender].[All]" allUniqueName="[HR].[Gender].[All]" dimensionUniqueName="[HR]" displayFolder="" count="2" memberValueDatatype="130" unbalanced="0">
      <fieldsUsage count="2">
        <fieldUsage x="-1"/>
        <fieldUsage x="2"/>
      </fieldsUsage>
    </cacheHierarchy>
    <cacheHierarchy uniqueName="[HR].[JobRole]" caption="JobRole" attribute="1" defaultMemberUniqueName="[HR].[JobRole].[All]" allUniqueName="[HR].[JobRole].[All]" dimensionUniqueName="[HR]" displayFolder="" count="0" memberValueDatatype="130" unbalanced="0"/>
    <cacheHierarchy uniqueName="[HR].[JobSatisfaction]" caption="JobSatisfaction" attribute="1" defaultMemberUniqueName="[HR].[JobSatisfaction].[All]" allUniqueName="[HR].[JobSatisfaction].[All]" dimensionUniqueName="[HR]" displayFolder="" count="0" memberValueDatatype="20" unbalanced="0"/>
    <cacheHierarchy uniqueName="[HR].[MaritalStatus]" caption="MaritalStatus" attribute="1" defaultMemberUniqueName="[HR].[MaritalStatus].[All]" allUniqueName="[HR].[MaritalStatus].[All]" dimensionUniqueName="[HR]" displayFolder="" count="0" memberValueDatatype="130" unbalanced="0"/>
    <cacheHierarchy uniqueName="[HR].[MonthlyIncome]" caption="MonthlyIncome" attribute="1" defaultMemberUniqueName="[HR].[MonthlyIncome].[All]" allUniqueName="[HR].[MonthlyIncome].[All]" dimensionUniqueName="[HR]" displayFolder="" count="0" memberValueDatatype="20" unbalanced="0"/>
    <cacheHierarchy uniqueName="[HR].[OverTime]" caption="OverTime" attribute="1" defaultMemberUniqueName="[HR].[OverTime].[All]" allUniqueName="[HR].[OverTime].[All]" dimensionUniqueName="[HR]" displayFolder="" count="2" memberValueDatatype="130" unbalanced="0">
      <fieldsUsage count="2">
        <fieldUsage x="-1"/>
        <fieldUsage x="0"/>
      </fieldsUsage>
    </cacheHierarchy>
    <cacheHierarchy uniqueName="[HR].[PerformanceRating]" caption="PerformanceRating" attribute="1" defaultMemberUniqueName="[HR].[PerformanceRating].[All]" allUniqueName="[HR].[PerformanceRating].[All]" dimensionUniqueName="[HR]" displayFolder="" count="0" memberValueDatatype="20" unbalanced="0"/>
    <cacheHierarchy uniqueName="[HR].[WorkLifeBalance]" caption="WorkLifeBalance" attribute="1" defaultMemberUniqueName="[HR].[WorkLifeBalance].[All]" allUniqueName="[HR].[WorkLifeBalance].[All]" dimensionUniqueName="[HR]" displayFolder="" count="0" memberValueDatatype="20" unbalanced="0"/>
    <cacheHierarchy uniqueName="[HR].[WorklifeBalance2]" caption="WorklifeBalance2" attribute="1" defaultMemberUniqueName="[HR].[WorklifeBalance2].[All]" allUniqueName="[HR].[WorklifeBalance2].[All]" dimensionUniqueName="[HR]" displayFolder="" count="0" memberValueDatatype="130" unbalanced="0"/>
    <cacheHierarchy uniqueName="[Measures].[Employess left]" caption="Employess left" measure="1" displayFolder="" measureGroup="HR" count="0" oneField="1">
      <fieldsUsage count="1">
        <fieldUsage x="1"/>
      </fieldsUsage>
    </cacheHierarchy>
    <cacheHierarchy uniqueName="[Measures].[Total Employess]" caption="Total Employess" measure="1" displayFolder="" measureGroup="HR" count="0"/>
    <cacheHierarchy uniqueName="[Measures].[Attrition rate]" caption="Attrition rate" measure="1" displayFolder="" measureGroup="HR" count="0"/>
    <cacheHierarchy uniqueName="[Measures].[EMPLOYESS DOING OVERTIME]" caption="EMPLOYESS DOING OVERTIME" measure="1" displayFolder="" measureGroup="HR" count="0"/>
    <cacheHierarchy uniqueName="[Measures].[__XL_Count HR]" caption="__XL_Count HR" measure="1" displayFolder="" measureGroup="HR" count="0" hidden="1"/>
    <cacheHierarchy uniqueName="[Measures].[__No measures defined]" caption="__No measures defined" measure="1" displayFolder="" count="0" hidden="1"/>
    <cacheHierarchy uniqueName="[Measures].[Sum of Age]" caption="Sum of Age" measure="1" displayFolder="" measureGroup="HR" count="0" hidden="1">
      <extLst>
        <ext xmlns:x15="http://schemas.microsoft.com/office/spreadsheetml/2010/11/main" uri="{B97F6D7D-B522-45F9-BDA1-12C45D357490}">
          <x15:cacheHierarchy aggregatedColumn="0"/>
        </ext>
      </extLst>
    </cacheHierarchy>
    <cacheHierarchy uniqueName="[Measures].[Count of Age]" caption="Count of Age" measure="1" displayFolder="" measureGroup="HR"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HR" count="0" hidden="1">
      <extLst>
        <ext xmlns:x15="http://schemas.microsoft.com/office/spreadsheetml/2010/11/main" uri="{B97F6D7D-B522-45F9-BDA1-12C45D357490}">
          <x15:cacheHierarchy aggregatedColumn="7"/>
        </ext>
      </extLst>
    </cacheHierarchy>
    <cacheHierarchy uniqueName="[Measures].[Count of Attrition]" caption="Count of Attrition" measure="1" displayFolder="" measureGroup="HR" count="0" hidden="1">
      <extLst>
        <ext xmlns:x15="http://schemas.microsoft.com/office/spreadsheetml/2010/11/main" uri="{B97F6D7D-B522-45F9-BDA1-12C45D357490}">
          <x15:cacheHierarchy aggregatedColumn="1"/>
        </ext>
      </extLst>
    </cacheHierarchy>
    <cacheHierarchy uniqueName="[Measures].[Sum of Education]" caption="Sum of Education" measure="1" displayFolder="" measureGroup="HR" count="0" hidden="1">
      <extLst>
        <ext xmlns:x15="http://schemas.microsoft.com/office/spreadsheetml/2010/11/main" uri="{B97F6D7D-B522-45F9-BDA1-12C45D357490}">
          <x15:cacheHierarchy aggregatedColumn="4"/>
        </ext>
      </extLst>
    </cacheHierarchy>
    <cacheHierarchy uniqueName="[Measures].[Sum of JobSatisfaction]" caption="Sum of JobSatisfaction" measure="1" displayFolder="" measureGroup="HR" count="0" hidden="1">
      <extLst>
        <ext xmlns:x15="http://schemas.microsoft.com/office/spreadsheetml/2010/11/main" uri="{B97F6D7D-B522-45F9-BDA1-12C45D357490}">
          <x15:cacheHierarchy aggregatedColumn="9"/>
        </ext>
      </extLst>
    </cacheHierarchy>
    <cacheHierarchy uniqueName="[Measures].[Average of JobSatisfaction]" caption="Average of JobSatisfaction" measure="1" displayFolder="" measureGroup="HR" count="0" hidden="1">
      <extLst>
        <ext xmlns:x15="http://schemas.microsoft.com/office/spreadsheetml/2010/11/main" uri="{B97F6D7D-B522-45F9-BDA1-12C45D357490}">
          <x15:cacheHierarchy aggregatedColumn="9"/>
        </ext>
      </extLst>
    </cacheHierarchy>
    <cacheHierarchy uniqueName="[Measures].[Sum of WorkLifeBalance]" caption="Sum of WorkLifeBalance" measure="1" displayFolder="" measureGroup="HR" count="0" hidden="1">
      <extLst>
        <ext xmlns:x15="http://schemas.microsoft.com/office/spreadsheetml/2010/11/main" uri="{B97F6D7D-B522-45F9-BDA1-12C45D357490}">
          <x15:cacheHierarchy aggregatedColumn="14"/>
        </ext>
      </extLst>
    </cacheHierarchy>
    <cacheHierarchy uniqueName="[Measures].[Count of WorkLifeBalance]" caption="Count of WorkLifeBalance" measure="1" displayFolder="" measureGroup="HR" count="0" hidden="1">
      <extLst>
        <ext xmlns:x15="http://schemas.microsoft.com/office/spreadsheetml/2010/11/main" uri="{B97F6D7D-B522-45F9-BDA1-12C45D357490}">
          <x15:cacheHierarchy aggregatedColumn="14"/>
        </ext>
      </extLst>
    </cacheHierarchy>
    <cacheHierarchy uniqueName="[Measures].[Sum of EnvironmentSatisfaction]" caption="Sum of EnvironmentSatisfaction" measure="1" displayFolder="" measureGroup="HR" count="0" hidden="1">
      <extLst>
        <ext xmlns:x15="http://schemas.microsoft.com/office/spreadsheetml/2010/11/main" uri="{B97F6D7D-B522-45F9-BDA1-12C45D357490}">
          <x15:cacheHierarchy aggregatedColumn="6"/>
        </ext>
      </extLst>
    </cacheHierarchy>
    <cacheHierarchy uniqueName="[Measures].[Count of OverTime]" caption="Count of OverTime" measure="1" displayFolder="" measureGroup="HR" count="0" hidden="1">
      <extLst>
        <ext xmlns:x15="http://schemas.microsoft.com/office/spreadsheetml/2010/11/main" uri="{B97F6D7D-B522-45F9-BDA1-12C45D357490}">
          <x15:cacheHierarchy aggregatedColumn="12"/>
        </ext>
      </extLst>
    </cacheHierarchy>
    <cacheHierarchy uniqueName="[Measures].[Sum of PerformanceRating]" caption="Sum of PerformanceRating" measure="1" displayFolder="" measureGroup="HR" count="0" hidden="1">
      <extLst>
        <ext xmlns:x15="http://schemas.microsoft.com/office/spreadsheetml/2010/11/main" uri="{B97F6D7D-B522-45F9-BDA1-12C45D357490}">
          <x15:cacheHierarchy aggregatedColumn="13"/>
        </ext>
      </extLst>
    </cacheHierarchy>
    <cacheHierarchy uniqueName="[Measures].[Sum of MonthlyIncome]" caption="Sum of MonthlyIncome" measure="1" displayFolder="" measureGroup="HR" count="0" hidden="1">
      <extLst>
        <ext xmlns:x15="http://schemas.microsoft.com/office/spreadsheetml/2010/11/main" uri="{B97F6D7D-B522-45F9-BDA1-12C45D357490}">
          <x15:cacheHierarchy aggregatedColumn="11"/>
        </ext>
      </extLst>
    </cacheHierarchy>
    <cacheHierarchy uniqueName="[Measures].[Average of MonthlyIncome]" caption="Average of MonthlyIncome" measure="1" displayFolder="" measureGroup="HR" count="0" hidden="1">
      <extLst>
        <ext xmlns:x15="http://schemas.microsoft.com/office/spreadsheetml/2010/11/main" uri="{B97F6D7D-B522-45F9-BDA1-12C45D357490}">
          <x15:cacheHierarchy aggregatedColumn="11"/>
        </ext>
      </extLst>
    </cacheHierarchy>
  </cacheHierarchies>
  <kpis count="0"/>
  <dimensions count="2">
    <dimension name="HR" uniqueName="[HR]" caption="HR"/>
    <dimension measure="1" name="Measures" uniqueName="[Measures]" caption="Measures"/>
  </dimensions>
  <measureGroups count="1">
    <measureGroup name="HR" caption="HR"/>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Sekhar Rachaneni" refreshedDate="46144.401598495373" backgroundQuery="1" createdVersion="8" refreshedVersion="8" minRefreshableVersion="3" recordCount="0" supportSubquery="1" supportAdvancedDrill="1" xr:uid="{EFB802F6-2CBC-482F-8FA4-C199EB043F07}">
  <cacheSource type="external" connectionId="2"/>
  <cacheFields count="2">
    <cacheField name="[Measures].[EMPLOYESS DOING OVERTIME]" caption="EMPLOYESS DOING OVERTIME" numFmtId="0" hierarchy="19" level="32767"/>
    <cacheField name="[HR].[Gender].[Gender]" caption="Gender" numFmtId="0" hierarchy="7" level="1">
      <sharedItems containsSemiMixedTypes="0" containsNonDate="0" containsString="0"/>
    </cacheField>
  </cacheFields>
  <cacheHierarchies count="36">
    <cacheHierarchy uniqueName="[HR].[Age]" caption="Age" attribute="1" defaultMemberUniqueName="[HR].[Age].[All]" allUniqueName="[HR].[Age].[All]" dimensionUniqueName="[HR]" displayFolder="" count="0" memberValueDatatype="20" unbalanced="0"/>
    <cacheHierarchy uniqueName="[HR].[Attrition]" caption="Attrition" attribute="1" defaultMemberUniqueName="[HR].[Attrition].[All]" allUniqueName="[HR].[Attrition].[All]" dimensionUniqueName="[HR]" displayFolder="" count="0" memberValueDatatype="130" unbalanced="0"/>
    <cacheHierarchy uniqueName="[HR].[BusinessTravel]" caption="BusinessTravel" attribute="1" defaultMemberUniqueName="[HR].[BusinessTravel].[All]" allUniqueName="[HR].[BusinessTravel].[All]" dimensionUniqueName="[HR]" displayFolder="" count="0" memberValueDatatype="130" unbalanced="0"/>
    <cacheHierarchy uniqueName="[HR].[Department]" caption="Department" attribute="1" defaultMemberUniqueName="[HR].[Department].[All]" allUniqueName="[HR].[Department].[All]" dimensionUniqueName="[HR]" displayFolder="" count="0" memberValueDatatype="130" unbalanced="0"/>
    <cacheHierarchy uniqueName="[HR].[Education]" caption="Education" attribute="1" defaultMemberUniqueName="[HR].[Education].[All]" allUniqueName="[HR].[Education].[All]" dimensionUniqueName="[HR]" displayFolder="" count="0" memberValueDatatype="20" unbalanced="0"/>
    <cacheHierarchy uniqueName="[HR].[EducationField]" caption="EducationField" attribute="1" defaultMemberUniqueName="[HR].[EducationField].[All]" allUniqueName="[HR].[EducationField].[All]" dimensionUniqueName="[HR]" displayFolder="" count="0" memberValueDatatype="130" unbalanced="0"/>
    <cacheHierarchy uniqueName="[HR].[EnvironmentSatisfaction]" caption="EnvironmentSatisfaction" attribute="1" defaultMemberUniqueName="[HR].[EnvironmentSatisfaction].[All]" allUniqueName="[HR].[EnvironmentSatisfaction].[All]" dimensionUniqueName="[HR]" displayFolder="" count="0" memberValueDatatype="20" unbalanced="0"/>
    <cacheHierarchy uniqueName="[HR].[Gender]" caption="Gender" attribute="1" defaultMemberUniqueName="[HR].[Gender].[All]" allUniqueName="[HR].[Gender].[All]" dimensionUniqueName="[HR]" displayFolder="" count="2" memberValueDatatype="130" unbalanced="0">
      <fieldsUsage count="2">
        <fieldUsage x="-1"/>
        <fieldUsage x="1"/>
      </fieldsUsage>
    </cacheHierarchy>
    <cacheHierarchy uniqueName="[HR].[JobRole]" caption="JobRole" attribute="1" defaultMemberUniqueName="[HR].[JobRole].[All]" allUniqueName="[HR].[JobRole].[All]" dimensionUniqueName="[HR]" displayFolder="" count="0" memberValueDatatype="130" unbalanced="0"/>
    <cacheHierarchy uniqueName="[HR].[JobSatisfaction]" caption="JobSatisfaction" attribute="1" defaultMemberUniqueName="[HR].[JobSatisfaction].[All]" allUniqueName="[HR].[JobSatisfaction].[All]" dimensionUniqueName="[HR]" displayFolder="" count="0" memberValueDatatype="20" unbalanced="0"/>
    <cacheHierarchy uniqueName="[HR].[MaritalStatus]" caption="MaritalStatus" attribute="1" defaultMemberUniqueName="[HR].[MaritalStatus].[All]" allUniqueName="[HR].[MaritalStatus].[All]" dimensionUniqueName="[HR]" displayFolder="" count="0" memberValueDatatype="130" unbalanced="0"/>
    <cacheHierarchy uniqueName="[HR].[MonthlyIncome]" caption="MonthlyIncome" attribute="1" defaultMemberUniqueName="[HR].[MonthlyIncome].[All]" allUniqueName="[HR].[MonthlyIncome].[All]" dimensionUniqueName="[HR]" displayFolder="" count="0" memberValueDatatype="20" unbalanced="0"/>
    <cacheHierarchy uniqueName="[HR].[OverTime]" caption="OverTime" attribute="1" defaultMemberUniqueName="[HR].[OverTime].[All]" allUniqueName="[HR].[OverTime].[All]" dimensionUniqueName="[HR]" displayFolder="" count="0" memberValueDatatype="130" unbalanced="0"/>
    <cacheHierarchy uniqueName="[HR].[PerformanceRating]" caption="PerformanceRating" attribute="1" defaultMemberUniqueName="[HR].[PerformanceRating].[All]" allUniqueName="[HR].[PerformanceRating].[All]" dimensionUniqueName="[HR]" displayFolder="" count="0" memberValueDatatype="20" unbalanced="0"/>
    <cacheHierarchy uniqueName="[HR].[WorkLifeBalance]" caption="WorkLifeBalance" attribute="1" defaultMemberUniqueName="[HR].[WorkLifeBalance].[All]" allUniqueName="[HR].[WorkLifeBalance].[All]" dimensionUniqueName="[HR]" displayFolder="" count="0" memberValueDatatype="20" unbalanced="0"/>
    <cacheHierarchy uniqueName="[HR].[WorklifeBalance2]" caption="WorklifeBalance2" attribute="1" defaultMemberUniqueName="[HR].[WorklifeBalance2].[All]" allUniqueName="[HR].[WorklifeBalance2].[All]" dimensionUniqueName="[HR]" displayFolder="" count="0" memberValueDatatype="130" unbalanced="0"/>
    <cacheHierarchy uniqueName="[Measures].[Employess left]" caption="Employess left" measure="1" displayFolder="" measureGroup="HR" count="0"/>
    <cacheHierarchy uniqueName="[Measures].[Total Employess]" caption="Total Employess" measure="1" displayFolder="" measureGroup="HR" count="0"/>
    <cacheHierarchy uniqueName="[Measures].[Attrition rate]" caption="Attrition rate" measure="1" displayFolder="" measureGroup="HR" count="0"/>
    <cacheHierarchy uniqueName="[Measures].[EMPLOYESS DOING OVERTIME]" caption="EMPLOYESS DOING OVERTIME" measure="1" displayFolder="" measureGroup="HR" count="0" oneField="1">
      <fieldsUsage count="1">
        <fieldUsage x="0"/>
      </fieldsUsage>
    </cacheHierarchy>
    <cacheHierarchy uniqueName="[Measures].[__XL_Count HR]" caption="__XL_Count HR" measure="1" displayFolder="" measureGroup="HR" count="0" hidden="1"/>
    <cacheHierarchy uniqueName="[Measures].[__No measures defined]" caption="__No measures defined" measure="1" displayFolder="" count="0" hidden="1"/>
    <cacheHierarchy uniqueName="[Measures].[Sum of Age]" caption="Sum of Age" measure="1" displayFolder="" measureGroup="HR" count="0" hidden="1">
      <extLst>
        <ext xmlns:x15="http://schemas.microsoft.com/office/spreadsheetml/2010/11/main" uri="{B97F6D7D-B522-45F9-BDA1-12C45D357490}">
          <x15:cacheHierarchy aggregatedColumn="0"/>
        </ext>
      </extLst>
    </cacheHierarchy>
    <cacheHierarchy uniqueName="[Measures].[Count of Age]" caption="Count of Age" measure="1" displayFolder="" measureGroup="HR"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HR" count="0" hidden="1">
      <extLst>
        <ext xmlns:x15="http://schemas.microsoft.com/office/spreadsheetml/2010/11/main" uri="{B97F6D7D-B522-45F9-BDA1-12C45D357490}">
          <x15:cacheHierarchy aggregatedColumn="7"/>
        </ext>
      </extLst>
    </cacheHierarchy>
    <cacheHierarchy uniqueName="[Measures].[Count of Attrition]" caption="Count of Attrition" measure="1" displayFolder="" measureGroup="HR" count="0" hidden="1">
      <extLst>
        <ext xmlns:x15="http://schemas.microsoft.com/office/spreadsheetml/2010/11/main" uri="{B97F6D7D-B522-45F9-BDA1-12C45D357490}">
          <x15:cacheHierarchy aggregatedColumn="1"/>
        </ext>
      </extLst>
    </cacheHierarchy>
    <cacheHierarchy uniqueName="[Measures].[Sum of Education]" caption="Sum of Education" measure="1" displayFolder="" measureGroup="HR" count="0" hidden="1">
      <extLst>
        <ext xmlns:x15="http://schemas.microsoft.com/office/spreadsheetml/2010/11/main" uri="{B97F6D7D-B522-45F9-BDA1-12C45D357490}">
          <x15:cacheHierarchy aggregatedColumn="4"/>
        </ext>
      </extLst>
    </cacheHierarchy>
    <cacheHierarchy uniqueName="[Measures].[Sum of JobSatisfaction]" caption="Sum of JobSatisfaction" measure="1" displayFolder="" measureGroup="HR" count="0" hidden="1">
      <extLst>
        <ext xmlns:x15="http://schemas.microsoft.com/office/spreadsheetml/2010/11/main" uri="{B97F6D7D-B522-45F9-BDA1-12C45D357490}">
          <x15:cacheHierarchy aggregatedColumn="9"/>
        </ext>
      </extLst>
    </cacheHierarchy>
    <cacheHierarchy uniqueName="[Measures].[Average of JobSatisfaction]" caption="Average of JobSatisfaction" measure="1" displayFolder="" measureGroup="HR" count="0" hidden="1">
      <extLst>
        <ext xmlns:x15="http://schemas.microsoft.com/office/spreadsheetml/2010/11/main" uri="{B97F6D7D-B522-45F9-BDA1-12C45D357490}">
          <x15:cacheHierarchy aggregatedColumn="9"/>
        </ext>
      </extLst>
    </cacheHierarchy>
    <cacheHierarchy uniqueName="[Measures].[Sum of WorkLifeBalance]" caption="Sum of WorkLifeBalance" measure="1" displayFolder="" measureGroup="HR" count="0" hidden="1">
      <extLst>
        <ext xmlns:x15="http://schemas.microsoft.com/office/spreadsheetml/2010/11/main" uri="{B97F6D7D-B522-45F9-BDA1-12C45D357490}">
          <x15:cacheHierarchy aggregatedColumn="14"/>
        </ext>
      </extLst>
    </cacheHierarchy>
    <cacheHierarchy uniqueName="[Measures].[Count of WorkLifeBalance]" caption="Count of WorkLifeBalance" measure="1" displayFolder="" measureGroup="HR" count="0" hidden="1">
      <extLst>
        <ext xmlns:x15="http://schemas.microsoft.com/office/spreadsheetml/2010/11/main" uri="{B97F6D7D-B522-45F9-BDA1-12C45D357490}">
          <x15:cacheHierarchy aggregatedColumn="14"/>
        </ext>
      </extLst>
    </cacheHierarchy>
    <cacheHierarchy uniqueName="[Measures].[Sum of EnvironmentSatisfaction]" caption="Sum of EnvironmentSatisfaction" measure="1" displayFolder="" measureGroup="HR" count="0" hidden="1">
      <extLst>
        <ext xmlns:x15="http://schemas.microsoft.com/office/spreadsheetml/2010/11/main" uri="{B97F6D7D-B522-45F9-BDA1-12C45D357490}">
          <x15:cacheHierarchy aggregatedColumn="6"/>
        </ext>
      </extLst>
    </cacheHierarchy>
    <cacheHierarchy uniqueName="[Measures].[Count of OverTime]" caption="Count of OverTime" measure="1" displayFolder="" measureGroup="HR" count="0" hidden="1">
      <extLst>
        <ext xmlns:x15="http://schemas.microsoft.com/office/spreadsheetml/2010/11/main" uri="{B97F6D7D-B522-45F9-BDA1-12C45D357490}">
          <x15:cacheHierarchy aggregatedColumn="12"/>
        </ext>
      </extLst>
    </cacheHierarchy>
    <cacheHierarchy uniqueName="[Measures].[Sum of PerformanceRating]" caption="Sum of PerformanceRating" measure="1" displayFolder="" measureGroup="HR" count="0" hidden="1">
      <extLst>
        <ext xmlns:x15="http://schemas.microsoft.com/office/spreadsheetml/2010/11/main" uri="{B97F6D7D-B522-45F9-BDA1-12C45D357490}">
          <x15:cacheHierarchy aggregatedColumn="13"/>
        </ext>
      </extLst>
    </cacheHierarchy>
    <cacheHierarchy uniqueName="[Measures].[Sum of MonthlyIncome]" caption="Sum of MonthlyIncome" measure="1" displayFolder="" measureGroup="HR" count="0" hidden="1">
      <extLst>
        <ext xmlns:x15="http://schemas.microsoft.com/office/spreadsheetml/2010/11/main" uri="{B97F6D7D-B522-45F9-BDA1-12C45D357490}">
          <x15:cacheHierarchy aggregatedColumn="11"/>
        </ext>
      </extLst>
    </cacheHierarchy>
    <cacheHierarchy uniqueName="[Measures].[Average of MonthlyIncome]" caption="Average of MonthlyIncome" measure="1" displayFolder="" measureGroup="HR" count="0" hidden="1">
      <extLst>
        <ext xmlns:x15="http://schemas.microsoft.com/office/spreadsheetml/2010/11/main" uri="{B97F6D7D-B522-45F9-BDA1-12C45D357490}">
          <x15:cacheHierarchy aggregatedColumn="11"/>
        </ext>
      </extLst>
    </cacheHierarchy>
  </cacheHierarchies>
  <kpis count="0"/>
  <dimensions count="2">
    <dimension name="HR" uniqueName="[HR]" caption="HR"/>
    <dimension measure="1" name="Measures" uniqueName="[Measures]" caption="Measures"/>
  </dimensions>
  <measureGroups count="1">
    <measureGroup name="HR" caption="HR"/>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Sekhar Rachaneni" refreshedDate="46144.401601273152" backgroundQuery="1" createdVersion="8" refreshedVersion="8" minRefreshableVersion="3" recordCount="0" supportSubquery="1" supportAdvancedDrill="1" xr:uid="{138DD136-D05A-4EB9-86F5-885CE8905AB7}">
  <cacheSource type="external" connectionId="2"/>
  <cacheFields count="2">
    <cacheField name="[Measures].[Employess left]" caption="Employess left" numFmtId="0" hierarchy="16" level="32767"/>
    <cacheField name="[HR].[Gender].[Gender]" caption="Gender" numFmtId="0" hierarchy="7" level="1">
      <sharedItems containsSemiMixedTypes="0" containsNonDate="0" containsString="0"/>
    </cacheField>
  </cacheFields>
  <cacheHierarchies count="36">
    <cacheHierarchy uniqueName="[HR].[Age]" caption="Age" attribute="1" defaultMemberUniqueName="[HR].[Age].[All]" allUniqueName="[HR].[Age].[All]" dimensionUniqueName="[HR]" displayFolder="" count="0" memberValueDatatype="20" unbalanced="0"/>
    <cacheHierarchy uniqueName="[HR].[Attrition]" caption="Attrition" attribute="1" defaultMemberUniqueName="[HR].[Attrition].[All]" allUniqueName="[HR].[Attrition].[All]" dimensionUniqueName="[HR]" displayFolder="" count="0" memberValueDatatype="130" unbalanced="0"/>
    <cacheHierarchy uniqueName="[HR].[BusinessTravel]" caption="BusinessTravel" attribute="1" defaultMemberUniqueName="[HR].[BusinessTravel].[All]" allUniqueName="[HR].[BusinessTravel].[All]" dimensionUniqueName="[HR]" displayFolder="" count="0" memberValueDatatype="130" unbalanced="0"/>
    <cacheHierarchy uniqueName="[HR].[Department]" caption="Department" attribute="1" defaultMemberUniqueName="[HR].[Department].[All]" allUniqueName="[HR].[Department].[All]" dimensionUniqueName="[HR]" displayFolder="" count="0" memberValueDatatype="130" unbalanced="0"/>
    <cacheHierarchy uniqueName="[HR].[Education]" caption="Education" attribute="1" defaultMemberUniqueName="[HR].[Education].[All]" allUniqueName="[HR].[Education].[All]" dimensionUniqueName="[HR]" displayFolder="" count="0" memberValueDatatype="20" unbalanced="0"/>
    <cacheHierarchy uniqueName="[HR].[EducationField]" caption="EducationField" attribute="1" defaultMemberUniqueName="[HR].[EducationField].[All]" allUniqueName="[HR].[EducationField].[All]" dimensionUniqueName="[HR]" displayFolder="" count="0" memberValueDatatype="130" unbalanced="0"/>
    <cacheHierarchy uniqueName="[HR].[EnvironmentSatisfaction]" caption="EnvironmentSatisfaction" attribute="1" defaultMemberUniqueName="[HR].[EnvironmentSatisfaction].[All]" allUniqueName="[HR].[EnvironmentSatisfaction].[All]" dimensionUniqueName="[HR]" displayFolder="" count="0" memberValueDatatype="20" unbalanced="0"/>
    <cacheHierarchy uniqueName="[HR].[Gender]" caption="Gender" attribute="1" defaultMemberUniqueName="[HR].[Gender].[All]" allUniqueName="[HR].[Gender].[All]" dimensionUniqueName="[HR]" displayFolder="" count="2" memberValueDatatype="130" unbalanced="0">
      <fieldsUsage count="2">
        <fieldUsage x="-1"/>
        <fieldUsage x="1"/>
      </fieldsUsage>
    </cacheHierarchy>
    <cacheHierarchy uniqueName="[HR].[JobRole]" caption="JobRole" attribute="1" defaultMemberUniqueName="[HR].[JobRole].[All]" allUniqueName="[HR].[JobRole].[All]" dimensionUniqueName="[HR]" displayFolder="" count="0" memberValueDatatype="130" unbalanced="0"/>
    <cacheHierarchy uniqueName="[HR].[JobSatisfaction]" caption="JobSatisfaction" attribute="1" defaultMemberUniqueName="[HR].[JobSatisfaction].[All]" allUniqueName="[HR].[JobSatisfaction].[All]" dimensionUniqueName="[HR]" displayFolder="" count="0" memberValueDatatype="20" unbalanced="0"/>
    <cacheHierarchy uniqueName="[HR].[MaritalStatus]" caption="MaritalStatus" attribute="1" defaultMemberUniqueName="[HR].[MaritalStatus].[All]" allUniqueName="[HR].[MaritalStatus].[All]" dimensionUniqueName="[HR]" displayFolder="" count="0" memberValueDatatype="130" unbalanced="0"/>
    <cacheHierarchy uniqueName="[HR].[MonthlyIncome]" caption="MonthlyIncome" attribute="1" defaultMemberUniqueName="[HR].[MonthlyIncome].[All]" allUniqueName="[HR].[MonthlyIncome].[All]" dimensionUniqueName="[HR]" displayFolder="" count="0" memberValueDatatype="20" unbalanced="0"/>
    <cacheHierarchy uniqueName="[HR].[OverTime]" caption="OverTime" attribute="1" defaultMemberUniqueName="[HR].[OverTime].[All]" allUniqueName="[HR].[OverTime].[All]" dimensionUniqueName="[HR]" displayFolder="" count="0" memberValueDatatype="130" unbalanced="0"/>
    <cacheHierarchy uniqueName="[HR].[PerformanceRating]" caption="PerformanceRating" attribute="1" defaultMemberUniqueName="[HR].[PerformanceRating].[All]" allUniqueName="[HR].[PerformanceRating].[All]" dimensionUniqueName="[HR]" displayFolder="" count="0" memberValueDatatype="20" unbalanced="0"/>
    <cacheHierarchy uniqueName="[HR].[WorkLifeBalance]" caption="WorkLifeBalance" attribute="1" defaultMemberUniqueName="[HR].[WorkLifeBalance].[All]" allUniqueName="[HR].[WorkLifeBalance].[All]" dimensionUniqueName="[HR]" displayFolder="" count="0" memberValueDatatype="20" unbalanced="0"/>
    <cacheHierarchy uniqueName="[HR].[WorklifeBalance2]" caption="WorklifeBalance2" attribute="1" defaultMemberUniqueName="[HR].[WorklifeBalance2].[All]" allUniqueName="[HR].[WorklifeBalance2].[All]" dimensionUniqueName="[HR]" displayFolder="" count="0" memberValueDatatype="130" unbalanced="0"/>
    <cacheHierarchy uniqueName="[Measures].[Employess left]" caption="Employess left" measure="1" displayFolder="" measureGroup="HR" count="0" oneField="1">
      <fieldsUsage count="1">
        <fieldUsage x="0"/>
      </fieldsUsage>
    </cacheHierarchy>
    <cacheHierarchy uniqueName="[Measures].[Total Employess]" caption="Total Employess" measure="1" displayFolder="" measureGroup="HR" count="0"/>
    <cacheHierarchy uniqueName="[Measures].[Attrition rate]" caption="Attrition rate" measure="1" displayFolder="" measureGroup="HR" count="0"/>
    <cacheHierarchy uniqueName="[Measures].[EMPLOYESS DOING OVERTIME]" caption="EMPLOYESS DOING OVERTIME" measure="1" displayFolder="" measureGroup="HR" count="0"/>
    <cacheHierarchy uniqueName="[Measures].[__XL_Count HR]" caption="__XL_Count HR" measure="1" displayFolder="" measureGroup="HR" count="0" hidden="1"/>
    <cacheHierarchy uniqueName="[Measures].[__No measures defined]" caption="__No measures defined" measure="1" displayFolder="" count="0" hidden="1"/>
    <cacheHierarchy uniqueName="[Measures].[Sum of Age]" caption="Sum of Age" measure="1" displayFolder="" measureGroup="HR" count="0" hidden="1">
      <extLst>
        <ext xmlns:x15="http://schemas.microsoft.com/office/spreadsheetml/2010/11/main" uri="{B97F6D7D-B522-45F9-BDA1-12C45D357490}">
          <x15:cacheHierarchy aggregatedColumn="0"/>
        </ext>
      </extLst>
    </cacheHierarchy>
    <cacheHierarchy uniqueName="[Measures].[Count of Age]" caption="Count of Age" measure="1" displayFolder="" measureGroup="HR"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HR" count="0" hidden="1">
      <extLst>
        <ext xmlns:x15="http://schemas.microsoft.com/office/spreadsheetml/2010/11/main" uri="{B97F6D7D-B522-45F9-BDA1-12C45D357490}">
          <x15:cacheHierarchy aggregatedColumn="7"/>
        </ext>
      </extLst>
    </cacheHierarchy>
    <cacheHierarchy uniqueName="[Measures].[Count of Attrition]" caption="Count of Attrition" measure="1" displayFolder="" measureGroup="HR" count="0" hidden="1">
      <extLst>
        <ext xmlns:x15="http://schemas.microsoft.com/office/spreadsheetml/2010/11/main" uri="{B97F6D7D-B522-45F9-BDA1-12C45D357490}">
          <x15:cacheHierarchy aggregatedColumn="1"/>
        </ext>
      </extLst>
    </cacheHierarchy>
    <cacheHierarchy uniqueName="[Measures].[Sum of Education]" caption="Sum of Education" measure="1" displayFolder="" measureGroup="HR" count="0" hidden="1">
      <extLst>
        <ext xmlns:x15="http://schemas.microsoft.com/office/spreadsheetml/2010/11/main" uri="{B97F6D7D-B522-45F9-BDA1-12C45D357490}">
          <x15:cacheHierarchy aggregatedColumn="4"/>
        </ext>
      </extLst>
    </cacheHierarchy>
    <cacheHierarchy uniqueName="[Measures].[Sum of JobSatisfaction]" caption="Sum of JobSatisfaction" measure="1" displayFolder="" measureGroup="HR" count="0" hidden="1">
      <extLst>
        <ext xmlns:x15="http://schemas.microsoft.com/office/spreadsheetml/2010/11/main" uri="{B97F6D7D-B522-45F9-BDA1-12C45D357490}">
          <x15:cacheHierarchy aggregatedColumn="9"/>
        </ext>
      </extLst>
    </cacheHierarchy>
    <cacheHierarchy uniqueName="[Measures].[Average of JobSatisfaction]" caption="Average of JobSatisfaction" measure="1" displayFolder="" measureGroup="HR" count="0" hidden="1">
      <extLst>
        <ext xmlns:x15="http://schemas.microsoft.com/office/spreadsheetml/2010/11/main" uri="{B97F6D7D-B522-45F9-BDA1-12C45D357490}">
          <x15:cacheHierarchy aggregatedColumn="9"/>
        </ext>
      </extLst>
    </cacheHierarchy>
    <cacheHierarchy uniqueName="[Measures].[Sum of WorkLifeBalance]" caption="Sum of WorkLifeBalance" measure="1" displayFolder="" measureGroup="HR" count="0" hidden="1">
      <extLst>
        <ext xmlns:x15="http://schemas.microsoft.com/office/spreadsheetml/2010/11/main" uri="{B97F6D7D-B522-45F9-BDA1-12C45D357490}">
          <x15:cacheHierarchy aggregatedColumn="14"/>
        </ext>
      </extLst>
    </cacheHierarchy>
    <cacheHierarchy uniqueName="[Measures].[Count of WorkLifeBalance]" caption="Count of WorkLifeBalance" measure="1" displayFolder="" measureGroup="HR" count="0" hidden="1">
      <extLst>
        <ext xmlns:x15="http://schemas.microsoft.com/office/spreadsheetml/2010/11/main" uri="{B97F6D7D-B522-45F9-BDA1-12C45D357490}">
          <x15:cacheHierarchy aggregatedColumn="14"/>
        </ext>
      </extLst>
    </cacheHierarchy>
    <cacheHierarchy uniqueName="[Measures].[Sum of EnvironmentSatisfaction]" caption="Sum of EnvironmentSatisfaction" measure="1" displayFolder="" measureGroup="HR" count="0" hidden="1">
      <extLst>
        <ext xmlns:x15="http://schemas.microsoft.com/office/spreadsheetml/2010/11/main" uri="{B97F6D7D-B522-45F9-BDA1-12C45D357490}">
          <x15:cacheHierarchy aggregatedColumn="6"/>
        </ext>
      </extLst>
    </cacheHierarchy>
    <cacheHierarchy uniqueName="[Measures].[Count of OverTime]" caption="Count of OverTime" measure="1" displayFolder="" measureGroup="HR" count="0" hidden="1">
      <extLst>
        <ext xmlns:x15="http://schemas.microsoft.com/office/spreadsheetml/2010/11/main" uri="{B97F6D7D-B522-45F9-BDA1-12C45D357490}">
          <x15:cacheHierarchy aggregatedColumn="12"/>
        </ext>
      </extLst>
    </cacheHierarchy>
    <cacheHierarchy uniqueName="[Measures].[Sum of PerformanceRating]" caption="Sum of PerformanceRating" measure="1" displayFolder="" measureGroup="HR" count="0" hidden="1">
      <extLst>
        <ext xmlns:x15="http://schemas.microsoft.com/office/spreadsheetml/2010/11/main" uri="{B97F6D7D-B522-45F9-BDA1-12C45D357490}">
          <x15:cacheHierarchy aggregatedColumn="13"/>
        </ext>
      </extLst>
    </cacheHierarchy>
    <cacheHierarchy uniqueName="[Measures].[Sum of MonthlyIncome]" caption="Sum of MonthlyIncome" measure="1" displayFolder="" measureGroup="HR" count="0" hidden="1">
      <extLst>
        <ext xmlns:x15="http://schemas.microsoft.com/office/spreadsheetml/2010/11/main" uri="{B97F6D7D-B522-45F9-BDA1-12C45D357490}">
          <x15:cacheHierarchy aggregatedColumn="11"/>
        </ext>
      </extLst>
    </cacheHierarchy>
    <cacheHierarchy uniqueName="[Measures].[Average of MonthlyIncome]" caption="Average of MonthlyIncome" measure="1" displayFolder="" measureGroup="HR" count="0" hidden="1">
      <extLst>
        <ext xmlns:x15="http://schemas.microsoft.com/office/spreadsheetml/2010/11/main" uri="{B97F6D7D-B522-45F9-BDA1-12C45D357490}">
          <x15:cacheHierarchy aggregatedColumn="11"/>
        </ext>
      </extLst>
    </cacheHierarchy>
  </cacheHierarchies>
  <kpis count="0"/>
  <dimensions count="2">
    <dimension name="HR" uniqueName="[HR]" caption="HR"/>
    <dimension measure="1" name="Measures" uniqueName="[Measures]" caption="Measures"/>
  </dimensions>
  <measureGroups count="1">
    <measureGroup name="HR" caption="HR"/>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Sekhar Rachaneni" refreshedDate="46144.401604513892" backgroundQuery="1" createdVersion="8" refreshedVersion="8" minRefreshableVersion="3" recordCount="0" supportSubquery="1" supportAdvancedDrill="1" xr:uid="{794C7765-69C1-41F8-845D-7661843D5C2A}">
  <cacheSource type="external" connectionId="2"/>
  <cacheFields count="3">
    <cacheField name="[Measures].[Average of MonthlyIncome]" caption="Average of MonthlyIncome" numFmtId="0" hierarchy="35" level="32767"/>
    <cacheField name="[HR].[Attrition].[Attrition]" caption="Attrition" numFmtId="0" hierarchy="1" level="1">
      <sharedItems count="2">
        <s v="No"/>
        <s v="Yes"/>
      </sharedItems>
    </cacheField>
    <cacheField name="[HR].[Gender].[Gender]" caption="Gender" numFmtId="0" hierarchy="7" level="1">
      <sharedItems containsSemiMixedTypes="0" containsNonDate="0" containsString="0"/>
    </cacheField>
  </cacheFields>
  <cacheHierarchies count="36">
    <cacheHierarchy uniqueName="[HR].[Age]" caption="Age" attribute="1" defaultMemberUniqueName="[HR].[Age].[All]" allUniqueName="[HR].[Age].[All]" dimensionUniqueName="[HR]" displayFolder="" count="0" memberValueDatatype="20" unbalanced="0"/>
    <cacheHierarchy uniqueName="[HR].[Attrition]" caption="Attrition" attribute="1" defaultMemberUniqueName="[HR].[Attrition].[All]" allUniqueName="[HR].[Attrition].[All]" dimensionUniqueName="[HR]" displayFolder="" count="2" memberValueDatatype="130" unbalanced="0">
      <fieldsUsage count="2">
        <fieldUsage x="-1"/>
        <fieldUsage x="1"/>
      </fieldsUsage>
    </cacheHierarchy>
    <cacheHierarchy uniqueName="[HR].[BusinessTravel]" caption="BusinessTravel" attribute="1" defaultMemberUniqueName="[HR].[BusinessTravel].[All]" allUniqueName="[HR].[BusinessTravel].[All]" dimensionUniqueName="[HR]" displayFolder="" count="0" memberValueDatatype="130" unbalanced="0"/>
    <cacheHierarchy uniqueName="[HR].[Department]" caption="Department" attribute="1" defaultMemberUniqueName="[HR].[Department].[All]" allUniqueName="[HR].[Department].[All]" dimensionUniqueName="[HR]" displayFolder="" count="0" memberValueDatatype="130" unbalanced="0"/>
    <cacheHierarchy uniqueName="[HR].[Education]" caption="Education" attribute="1" defaultMemberUniqueName="[HR].[Education].[All]" allUniqueName="[HR].[Education].[All]" dimensionUniqueName="[HR]" displayFolder="" count="0" memberValueDatatype="20" unbalanced="0"/>
    <cacheHierarchy uniqueName="[HR].[EducationField]" caption="EducationField" attribute="1" defaultMemberUniqueName="[HR].[EducationField].[All]" allUniqueName="[HR].[EducationField].[All]" dimensionUniqueName="[HR]" displayFolder="" count="0" memberValueDatatype="130" unbalanced="0"/>
    <cacheHierarchy uniqueName="[HR].[EnvironmentSatisfaction]" caption="EnvironmentSatisfaction" attribute="1" defaultMemberUniqueName="[HR].[EnvironmentSatisfaction].[All]" allUniqueName="[HR].[EnvironmentSatisfaction].[All]" dimensionUniqueName="[HR]" displayFolder="" count="0" memberValueDatatype="20" unbalanced="0"/>
    <cacheHierarchy uniqueName="[HR].[Gender]" caption="Gender" attribute="1" defaultMemberUniqueName="[HR].[Gender].[All]" allUniqueName="[HR].[Gender].[All]" dimensionUniqueName="[HR]" displayFolder="" count="2" memberValueDatatype="130" unbalanced="0">
      <fieldsUsage count="2">
        <fieldUsage x="-1"/>
        <fieldUsage x="2"/>
      </fieldsUsage>
    </cacheHierarchy>
    <cacheHierarchy uniqueName="[HR].[JobRole]" caption="JobRole" attribute="1" defaultMemberUniqueName="[HR].[JobRole].[All]" allUniqueName="[HR].[JobRole].[All]" dimensionUniqueName="[HR]" displayFolder="" count="0" memberValueDatatype="130" unbalanced="0"/>
    <cacheHierarchy uniqueName="[HR].[JobSatisfaction]" caption="JobSatisfaction" attribute="1" defaultMemberUniqueName="[HR].[JobSatisfaction].[All]" allUniqueName="[HR].[JobSatisfaction].[All]" dimensionUniqueName="[HR]" displayFolder="" count="0" memberValueDatatype="20" unbalanced="0"/>
    <cacheHierarchy uniqueName="[HR].[MaritalStatus]" caption="MaritalStatus" attribute="1" defaultMemberUniqueName="[HR].[MaritalStatus].[All]" allUniqueName="[HR].[MaritalStatus].[All]" dimensionUniqueName="[HR]" displayFolder="" count="0" memberValueDatatype="130" unbalanced="0"/>
    <cacheHierarchy uniqueName="[HR].[MonthlyIncome]" caption="MonthlyIncome" attribute="1" defaultMemberUniqueName="[HR].[MonthlyIncome].[All]" allUniqueName="[HR].[MonthlyIncome].[All]" dimensionUniqueName="[HR]" displayFolder="" count="0" memberValueDatatype="20" unbalanced="0"/>
    <cacheHierarchy uniqueName="[HR].[OverTime]" caption="OverTime" attribute="1" defaultMemberUniqueName="[HR].[OverTime].[All]" allUniqueName="[HR].[OverTime].[All]" dimensionUniqueName="[HR]" displayFolder="" count="0" memberValueDatatype="130" unbalanced="0"/>
    <cacheHierarchy uniqueName="[HR].[PerformanceRating]" caption="PerformanceRating" attribute="1" defaultMemberUniqueName="[HR].[PerformanceRating].[All]" allUniqueName="[HR].[PerformanceRating].[All]" dimensionUniqueName="[HR]" displayFolder="" count="0" memberValueDatatype="20" unbalanced="0"/>
    <cacheHierarchy uniqueName="[HR].[WorkLifeBalance]" caption="WorkLifeBalance" attribute="1" defaultMemberUniqueName="[HR].[WorkLifeBalance].[All]" allUniqueName="[HR].[WorkLifeBalance].[All]" dimensionUniqueName="[HR]" displayFolder="" count="0" memberValueDatatype="20" unbalanced="0"/>
    <cacheHierarchy uniqueName="[HR].[WorklifeBalance2]" caption="WorklifeBalance2" attribute="1" defaultMemberUniqueName="[HR].[WorklifeBalance2].[All]" allUniqueName="[HR].[WorklifeBalance2].[All]" dimensionUniqueName="[HR]" displayFolder="" count="0" memberValueDatatype="130" unbalanced="0"/>
    <cacheHierarchy uniqueName="[Measures].[Employess left]" caption="Employess left" measure="1" displayFolder="" measureGroup="HR" count="0"/>
    <cacheHierarchy uniqueName="[Measures].[Total Employess]" caption="Total Employess" measure="1" displayFolder="" measureGroup="HR" count="0"/>
    <cacheHierarchy uniqueName="[Measures].[Attrition rate]" caption="Attrition rate" measure="1" displayFolder="" measureGroup="HR" count="0"/>
    <cacheHierarchy uniqueName="[Measures].[EMPLOYESS DOING OVERTIME]" caption="EMPLOYESS DOING OVERTIME" measure="1" displayFolder="" measureGroup="HR" count="0"/>
    <cacheHierarchy uniqueName="[Measures].[__XL_Count HR]" caption="__XL_Count HR" measure="1" displayFolder="" measureGroup="HR" count="0" hidden="1"/>
    <cacheHierarchy uniqueName="[Measures].[__No measures defined]" caption="__No measures defined" measure="1" displayFolder="" count="0" hidden="1"/>
    <cacheHierarchy uniqueName="[Measures].[Sum of Age]" caption="Sum of Age" measure="1" displayFolder="" measureGroup="HR" count="0" hidden="1">
      <extLst>
        <ext xmlns:x15="http://schemas.microsoft.com/office/spreadsheetml/2010/11/main" uri="{B97F6D7D-B522-45F9-BDA1-12C45D357490}">
          <x15:cacheHierarchy aggregatedColumn="0"/>
        </ext>
      </extLst>
    </cacheHierarchy>
    <cacheHierarchy uniqueName="[Measures].[Count of Age]" caption="Count of Age" measure="1" displayFolder="" measureGroup="HR"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HR" count="0" hidden="1">
      <extLst>
        <ext xmlns:x15="http://schemas.microsoft.com/office/spreadsheetml/2010/11/main" uri="{B97F6D7D-B522-45F9-BDA1-12C45D357490}">
          <x15:cacheHierarchy aggregatedColumn="7"/>
        </ext>
      </extLst>
    </cacheHierarchy>
    <cacheHierarchy uniqueName="[Measures].[Count of Attrition]" caption="Count of Attrition" measure="1" displayFolder="" measureGroup="HR" count="0" hidden="1">
      <extLst>
        <ext xmlns:x15="http://schemas.microsoft.com/office/spreadsheetml/2010/11/main" uri="{B97F6D7D-B522-45F9-BDA1-12C45D357490}">
          <x15:cacheHierarchy aggregatedColumn="1"/>
        </ext>
      </extLst>
    </cacheHierarchy>
    <cacheHierarchy uniqueName="[Measures].[Sum of Education]" caption="Sum of Education" measure="1" displayFolder="" measureGroup="HR" count="0" hidden="1">
      <extLst>
        <ext xmlns:x15="http://schemas.microsoft.com/office/spreadsheetml/2010/11/main" uri="{B97F6D7D-B522-45F9-BDA1-12C45D357490}">
          <x15:cacheHierarchy aggregatedColumn="4"/>
        </ext>
      </extLst>
    </cacheHierarchy>
    <cacheHierarchy uniqueName="[Measures].[Sum of JobSatisfaction]" caption="Sum of JobSatisfaction" measure="1" displayFolder="" measureGroup="HR" count="0" hidden="1">
      <extLst>
        <ext xmlns:x15="http://schemas.microsoft.com/office/spreadsheetml/2010/11/main" uri="{B97F6D7D-B522-45F9-BDA1-12C45D357490}">
          <x15:cacheHierarchy aggregatedColumn="9"/>
        </ext>
      </extLst>
    </cacheHierarchy>
    <cacheHierarchy uniqueName="[Measures].[Average of JobSatisfaction]" caption="Average of JobSatisfaction" measure="1" displayFolder="" measureGroup="HR" count="0" hidden="1">
      <extLst>
        <ext xmlns:x15="http://schemas.microsoft.com/office/spreadsheetml/2010/11/main" uri="{B97F6D7D-B522-45F9-BDA1-12C45D357490}">
          <x15:cacheHierarchy aggregatedColumn="9"/>
        </ext>
      </extLst>
    </cacheHierarchy>
    <cacheHierarchy uniqueName="[Measures].[Sum of WorkLifeBalance]" caption="Sum of WorkLifeBalance" measure="1" displayFolder="" measureGroup="HR" count="0" hidden="1">
      <extLst>
        <ext xmlns:x15="http://schemas.microsoft.com/office/spreadsheetml/2010/11/main" uri="{B97F6D7D-B522-45F9-BDA1-12C45D357490}">
          <x15:cacheHierarchy aggregatedColumn="14"/>
        </ext>
      </extLst>
    </cacheHierarchy>
    <cacheHierarchy uniqueName="[Measures].[Count of WorkLifeBalance]" caption="Count of WorkLifeBalance" measure="1" displayFolder="" measureGroup="HR" count="0" hidden="1">
      <extLst>
        <ext xmlns:x15="http://schemas.microsoft.com/office/spreadsheetml/2010/11/main" uri="{B97F6D7D-B522-45F9-BDA1-12C45D357490}">
          <x15:cacheHierarchy aggregatedColumn="14"/>
        </ext>
      </extLst>
    </cacheHierarchy>
    <cacheHierarchy uniqueName="[Measures].[Sum of EnvironmentSatisfaction]" caption="Sum of EnvironmentSatisfaction" measure="1" displayFolder="" measureGroup="HR" count="0" hidden="1">
      <extLst>
        <ext xmlns:x15="http://schemas.microsoft.com/office/spreadsheetml/2010/11/main" uri="{B97F6D7D-B522-45F9-BDA1-12C45D357490}">
          <x15:cacheHierarchy aggregatedColumn="6"/>
        </ext>
      </extLst>
    </cacheHierarchy>
    <cacheHierarchy uniqueName="[Measures].[Count of OverTime]" caption="Count of OverTime" measure="1" displayFolder="" measureGroup="HR" count="0" hidden="1">
      <extLst>
        <ext xmlns:x15="http://schemas.microsoft.com/office/spreadsheetml/2010/11/main" uri="{B97F6D7D-B522-45F9-BDA1-12C45D357490}">
          <x15:cacheHierarchy aggregatedColumn="12"/>
        </ext>
      </extLst>
    </cacheHierarchy>
    <cacheHierarchy uniqueName="[Measures].[Sum of PerformanceRating]" caption="Sum of PerformanceRating" measure="1" displayFolder="" measureGroup="HR" count="0" hidden="1">
      <extLst>
        <ext xmlns:x15="http://schemas.microsoft.com/office/spreadsheetml/2010/11/main" uri="{B97F6D7D-B522-45F9-BDA1-12C45D357490}">
          <x15:cacheHierarchy aggregatedColumn="13"/>
        </ext>
      </extLst>
    </cacheHierarchy>
    <cacheHierarchy uniqueName="[Measures].[Sum of MonthlyIncome]" caption="Sum of MonthlyIncome" measure="1" displayFolder="" measureGroup="HR" count="0" hidden="1">
      <extLst>
        <ext xmlns:x15="http://schemas.microsoft.com/office/spreadsheetml/2010/11/main" uri="{B97F6D7D-B522-45F9-BDA1-12C45D357490}">
          <x15:cacheHierarchy aggregatedColumn="11"/>
        </ext>
      </extLst>
    </cacheHierarchy>
    <cacheHierarchy uniqueName="[Measures].[Average of MonthlyIncome]" caption="Average of MonthlyIncome" measure="1" displayFolder="" measureGroup="HR" count="0" oneField="1" hidden="1">
      <fieldsUsage count="1">
        <fieldUsage x="0"/>
      </fieldsUsage>
      <extLst>
        <ext xmlns:x15="http://schemas.microsoft.com/office/spreadsheetml/2010/11/main" uri="{B97F6D7D-B522-45F9-BDA1-12C45D357490}">
          <x15:cacheHierarchy aggregatedColumn="11"/>
        </ext>
      </extLst>
    </cacheHierarchy>
  </cacheHierarchies>
  <kpis count="0"/>
  <dimensions count="2">
    <dimension name="HR" uniqueName="[HR]" caption="HR"/>
    <dimension measure="1" name="Measures" uniqueName="[Measures]" caption="Measures"/>
  </dimensions>
  <measureGroups count="1">
    <measureGroup name="HR" caption="HR"/>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Sekhar Rachaneni" refreshedDate="46139.458820949076" backgroundQuery="1" createdVersion="3" refreshedVersion="8" minRefreshableVersion="3" recordCount="0" supportSubquery="1" supportAdvancedDrill="1" xr:uid="{11309E89-FCBA-40BF-AE29-B814D57663AF}">
  <cacheSource type="external" connectionId="2">
    <extLst>
      <ext xmlns:x14="http://schemas.microsoft.com/office/spreadsheetml/2009/9/main" uri="{F057638F-6D5F-4e77-A914-E7F072B9BCA8}">
        <x14:sourceConnection name="ThisWorkbookDataModel"/>
      </ext>
    </extLst>
  </cacheSource>
  <cacheFields count="0"/>
  <cacheHierarchies count="36">
    <cacheHierarchy uniqueName="[HR].[Age]" caption="Age" attribute="1" defaultMemberUniqueName="[HR].[Age].[All]" allUniqueName="[HR].[Age].[All]" dimensionUniqueName="[HR]" displayFolder="" count="0" memberValueDatatype="20" unbalanced="0"/>
    <cacheHierarchy uniqueName="[HR].[Attrition]" caption="Attrition" attribute="1" defaultMemberUniqueName="[HR].[Attrition].[All]" allUniqueName="[HR].[Attrition].[All]" dimensionUniqueName="[HR]" displayFolder="" count="0" memberValueDatatype="130" unbalanced="0"/>
    <cacheHierarchy uniqueName="[HR].[BusinessTravel]" caption="BusinessTravel" attribute="1" defaultMemberUniqueName="[HR].[BusinessTravel].[All]" allUniqueName="[HR].[BusinessTravel].[All]" dimensionUniqueName="[HR]" displayFolder="" count="0" memberValueDatatype="130" unbalanced="0"/>
    <cacheHierarchy uniqueName="[HR].[Department]" caption="Department" attribute="1" defaultMemberUniqueName="[HR].[Department].[All]" allUniqueName="[HR].[Department].[All]" dimensionUniqueName="[HR]" displayFolder="" count="0" memberValueDatatype="130" unbalanced="0"/>
    <cacheHierarchy uniqueName="[HR].[Education]" caption="Education" attribute="1" defaultMemberUniqueName="[HR].[Education].[All]" allUniqueName="[HR].[Education].[All]" dimensionUniqueName="[HR]" displayFolder="" count="0" memberValueDatatype="20" unbalanced="0"/>
    <cacheHierarchy uniqueName="[HR].[EducationField]" caption="EducationField" attribute="1" defaultMemberUniqueName="[HR].[EducationField].[All]" allUniqueName="[HR].[EducationField].[All]" dimensionUniqueName="[HR]" displayFolder="" count="0" memberValueDatatype="130" unbalanced="0"/>
    <cacheHierarchy uniqueName="[HR].[EnvironmentSatisfaction]" caption="EnvironmentSatisfaction" attribute="1" defaultMemberUniqueName="[HR].[EnvironmentSatisfaction].[All]" allUniqueName="[HR].[EnvironmentSatisfaction].[All]" dimensionUniqueName="[HR]" displayFolder="" count="0" memberValueDatatype="20" unbalanced="0"/>
    <cacheHierarchy uniqueName="[HR].[Gender]" caption="Gender" attribute="1" defaultMemberUniqueName="[HR].[Gender].[All]" allUniqueName="[HR].[Gender].[All]" dimensionUniqueName="[HR]" displayFolder="" count="2" memberValueDatatype="130" unbalanced="0"/>
    <cacheHierarchy uniqueName="[HR].[JobRole]" caption="JobRole" attribute="1" defaultMemberUniqueName="[HR].[JobRole].[All]" allUniqueName="[HR].[JobRole].[All]" dimensionUniqueName="[HR]" displayFolder="" count="0" memberValueDatatype="130" unbalanced="0"/>
    <cacheHierarchy uniqueName="[HR].[JobSatisfaction]" caption="JobSatisfaction" attribute="1" defaultMemberUniqueName="[HR].[JobSatisfaction].[All]" allUniqueName="[HR].[JobSatisfaction].[All]" dimensionUniqueName="[HR]" displayFolder="" count="0" memberValueDatatype="20" unbalanced="0"/>
    <cacheHierarchy uniqueName="[HR].[MaritalStatus]" caption="MaritalStatus" attribute="1" defaultMemberUniqueName="[HR].[MaritalStatus].[All]" allUniqueName="[HR].[MaritalStatus].[All]" dimensionUniqueName="[HR]" displayFolder="" count="0" memberValueDatatype="130" unbalanced="0"/>
    <cacheHierarchy uniqueName="[HR].[MonthlyIncome]" caption="MonthlyIncome" attribute="1" defaultMemberUniqueName="[HR].[MonthlyIncome].[All]" allUniqueName="[HR].[MonthlyIncome].[All]" dimensionUniqueName="[HR]" displayFolder="" count="0" memberValueDatatype="20" unbalanced="0"/>
    <cacheHierarchy uniqueName="[HR].[OverTime]" caption="OverTime" attribute="1" defaultMemberUniqueName="[HR].[OverTime].[All]" allUniqueName="[HR].[OverTime].[All]" dimensionUniqueName="[HR]" displayFolder="" count="0" memberValueDatatype="130" unbalanced="0"/>
    <cacheHierarchy uniqueName="[HR].[PerformanceRating]" caption="PerformanceRating" attribute="1" defaultMemberUniqueName="[HR].[PerformanceRating].[All]" allUniqueName="[HR].[PerformanceRating].[All]" dimensionUniqueName="[HR]" displayFolder="" count="0" memberValueDatatype="20" unbalanced="0"/>
    <cacheHierarchy uniqueName="[HR].[WorkLifeBalance]" caption="WorkLifeBalance" attribute="1" defaultMemberUniqueName="[HR].[WorkLifeBalance].[All]" allUniqueName="[HR].[WorkLifeBalance].[All]" dimensionUniqueName="[HR]" displayFolder="" count="0" memberValueDatatype="20" unbalanced="0"/>
    <cacheHierarchy uniqueName="[HR].[WorklifeBalance2]" caption="WorklifeBalance2" attribute="1" defaultMemberUniqueName="[HR].[WorklifeBalance2].[All]" allUniqueName="[HR].[WorklifeBalance2].[All]" dimensionUniqueName="[HR]" displayFolder="" count="0" memberValueDatatype="130" unbalanced="0"/>
    <cacheHierarchy uniqueName="[Measures].[Employess left]" caption="Employess left" measure="1" displayFolder="" measureGroup="HR" count="0"/>
    <cacheHierarchy uniqueName="[Measures].[Total Employess]" caption="Total Employess" measure="1" displayFolder="" measureGroup="HR" count="0"/>
    <cacheHierarchy uniqueName="[Measures].[Attrition rate]" caption="Attrition rate" measure="1" displayFolder="" measureGroup="HR" count="0"/>
    <cacheHierarchy uniqueName="[Measures].[EMPLOYESS DOING OVERTIME]" caption="EMPLOYESS DOING OVERTIME" measure="1" displayFolder="" measureGroup="HR" count="0"/>
    <cacheHierarchy uniqueName="[Measures].[__XL_Count HR]" caption="__XL_Count HR" measure="1" displayFolder="" measureGroup="HR" count="0" hidden="1"/>
    <cacheHierarchy uniqueName="[Measures].[__No measures defined]" caption="__No measures defined" measure="1" displayFolder="" count="0" hidden="1"/>
    <cacheHierarchy uniqueName="[Measures].[Sum of Age]" caption="Sum of Age" measure="1" displayFolder="" measureGroup="HR" count="0" hidden="1">
      <extLst>
        <ext xmlns:x15="http://schemas.microsoft.com/office/spreadsheetml/2010/11/main" uri="{B97F6D7D-B522-45F9-BDA1-12C45D357490}">
          <x15:cacheHierarchy aggregatedColumn="0"/>
        </ext>
      </extLst>
    </cacheHierarchy>
    <cacheHierarchy uniqueName="[Measures].[Count of Age]" caption="Count of Age" measure="1" displayFolder="" measureGroup="HR"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HR" count="0" hidden="1">
      <extLst>
        <ext xmlns:x15="http://schemas.microsoft.com/office/spreadsheetml/2010/11/main" uri="{B97F6D7D-B522-45F9-BDA1-12C45D357490}">
          <x15:cacheHierarchy aggregatedColumn="7"/>
        </ext>
      </extLst>
    </cacheHierarchy>
    <cacheHierarchy uniqueName="[Measures].[Count of Attrition]" caption="Count of Attrition" measure="1" displayFolder="" measureGroup="HR" count="0" hidden="1">
      <extLst>
        <ext xmlns:x15="http://schemas.microsoft.com/office/spreadsheetml/2010/11/main" uri="{B97F6D7D-B522-45F9-BDA1-12C45D357490}">
          <x15:cacheHierarchy aggregatedColumn="1"/>
        </ext>
      </extLst>
    </cacheHierarchy>
    <cacheHierarchy uniqueName="[Measures].[Sum of Education]" caption="Sum of Education" measure="1" displayFolder="" measureGroup="HR" count="0" hidden="1">
      <extLst>
        <ext xmlns:x15="http://schemas.microsoft.com/office/spreadsheetml/2010/11/main" uri="{B97F6D7D-B522-45F9-BDA1-12C45D357490}">
          <x15:cacheHierarchy aggregatedColumn="4"/>
        </ext>
      </extLst>
    </cacheHierarchy>
    <cacheHierarchy uniqueName="[Measures].[Sum of JobSatisfaction]" caption="Sum of JobSatisfaction" measure="1" displayFolder="" measureGroup="HR" count="0" hidden="1">
      <extLst>
        <ext xmlns:x15="http://schemas.microsoft.com/office/spreadsheetml/2010/11/main" uri="{B97F6D7D-B522-45F9-BDA1-12C45D357490}">
          <x15:cacheHierarchy aggregatedColumn="9"/>
        </ext>
      </extLst>
    </cacheHierarchy>
    <cacheHierarchy uniqueName="[Measures].[Average of JobSatisfaction]" caption="Average of JobSatisfaction" measure="1" displayFolder="" measureGroup="HR" count="0" hidden="1">
      <extLst>
        <ext xmlns:x15="http://schemas.microsoft.com/office/spreadsheetml/2010/11/main" uri="{B97F6D7D-B522-45F9-BDA1-12C45D357490}">
          <x15:cacheHierarchy aggregatedColumn="9"/>
        </ext>
      </extLst>
    </cacheHierarchy>
    <cacheHierarchy uniqueName="[Measures].[Sum of WorkLifeBalance]" caption="Sum of WorkLifeBalance" measure="1" displayFolder="" measureGroup="HR" count="0" hidden="1">
      <extLst>
        <ext xmlns:x15="http://schemas.microsoft.com/office/spreadsheetml/2010/11/main" uri="{B97F6D7D-B522-45F9-BDA1-12C45D357490}">
          <x15:cacheHierarchy aggregatedColumn="14"/>
        </ext>
      </extLst>
    </cacheHierarchy>
    <cacheHierarchy uniqueName="[Measures].[Count of WorkLifeBalance]" caption="Count of WorkLifeBalance" measure="1" displayFolder="" measureGroup="HR" count="0" hidden="1">
      <extLst>
        <ext xmlns:x15="http://schemas.microsoft.com/office/spreadsheetml/2010/11/main" uri="{B97F6D7D-B522-45F9-BDA1-12C45D357490}">
          <x15:cacheHierarchy aggregatedColumn="14"/>
        </ext>
      </extLst>
    </cacheHierarchy>
    <cacheHierarchy uniqueName="[Measures].[Sum of EnvironmentSatisfaction]" caption="Sum of EnvironmentSatisfaction" measure="1" displayFolder="" measureGroup="HR" count="0" hidden="1">
      <extLst>
        <ext xmlns:x15="http://schemas.microsoft.com/office/spreadsheetml/2010/11/main" uri="{B97F6D7D-B522-45F9-BDA1-12C45D357490}">
          <x15:cacheHierarchy aggregatedColumn="6"/>
        </ext>
      </extLst>
    </cacheHierarchy>
    <cacheHierarchy uniqueName="[Measures].[Count of OverTime]" caption="Count of OverTime" measure="1" displayFolder="" measureGroup="HR" count="0" hidden="1">
      <extLst>
        <ext xmlns:x15="http://schemas.microsoft.com/office/spreadsheetml/2010/11/main" uri="{B97F6D7D-B522-45F9-BDA1-12C45D357490}">
          <x15:cacheHierarchy aggregatedColumn="12"/>
        </ext>
      </extLst>
    </cacheHierarchy>
    <cacheHierarchy uniqueName="[Measures].[Sum of PerformanceRating]" caption="Sum of PerformanceRating" measure="1" displayFolder="" measureGroup="HR" count="0" hidden="1">
      <extLst>
        <ext xmlns:x15="http://schemas.microsoft.com/office/spreadsheetml/2010/11/main" uri="{B97F6D7D-B522-45F9-BDA1-12C45D357490}">
          <x15:cacheHierarchy aggregatedColumn="13"/>
        </ext>
      </extLst>
    </cacheHierarchy>
    <cacheHierarchy uniqueName="[Measures].[Sum of MonthlyIncome]" caption="Sum of MonthlyIncome" measure="1" displayFolder="" measureGroup="HR" count="0" hidden="1">
      <extLst>
        <ext xmlns:x15="http://schemas.microsoft.com/office/spreadsheetml/2010/11/main" uri="{B97F6D7D-B522-45F9-BDA1-12C45D357490}">
          <x15:cacheHierarchy aggregatedColumn="11"/>
        </ext>
      </extLst>
    </cacheHierarchy>
    <cacheHierarchy uniqueName="[Measures].[Average of MonthlyIncome]" caption="Average of MonthlyIncome" measure="1" displayFolder="" measureGroup="HR"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142884074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32FB2F-247C-42B9-B8AA-8A661F53F68F}" name="PivotTable9" cacheId="44" applyNumberFormats="0" applyBorderFormats="0" applyFontFormats="0" applyPatternFormats="0" applyAlignmentFormats="0" applyWidthHeightFormats="1" dataCaption="Values" tag="897b78eb-5efc-40b0-aa59-9f450842de8a" updatedVersion="8" minRefreshableVersion="3" useAutoFormatting="1" subtotalHiddenItems="1" itemPrintTitles="1" createdVersion="8" indent="0" outline="1" outlineData="1" multipleFieldFilters="0" chartFormat="45">
  <location ref="H48:I51"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Average of MonthlyIncome" fld="0" subtotal="average" baseField="0" baseItem="0"/>
  </dataFields>
  <pivotHierarchies count="36">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Ag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MonthlyIncome"/>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3435F13-DD22-4A17-A6F0-52E085BB6BBA}" name="PivotTable14" cacheId="41" applyNumberFormats="0" applyBorderFormats="0" applyFontFormats="0" applyPatternFormats="0" applyAlignmentFormats="0" applyWidthHeightFormats="1" dataCaption="Values" tag="197e2ad4-bc60-4713-944e-91a8f0c01bbe" updatedVersion="8" minRefreshableVersion="3" useAutoFormatting="1" subtotalHiddenItems="1" itemPrintTitles="1" createdVersion="8" indent="0" outline="1" outlineData="1" multipleFieldFilters="0" chartFormat="45">
  <location ref="J41:J4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chartFormats count="1">
    <chartFormat chart="43" format="241"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Ag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91F92A-9ACC-4864-B342-5BF4E9AA0B2B}" name="PivotTable4" cacheId="17" applyNumberFormats="0" applyBorderFormats="0" applyFontFormats="0" applyPatternFormats="0" applyAlignmentFormats="0" applyWidthHeightFormats="1" dataCaption="Values" tag="cd0e4ba3-839a-495f-9ebf-2ca6fdafa675" updatedVersion="8" minRefreshableVersion="3" useAutoFormatting="1" subtotalHiddenItems="1" itemPrintTitles="1" createdVersion="8" indent="0" outline="1" outlineData="1" multipleFieldFilters="0" chartFormat="31">
  <location ref="E10:F14"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1">
    <chartFormat chart="25" format="7"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Ag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5042B76-D613-40DE-A92F-220DF69E6D98}" name="PivotTable11" cacheId="32" applyNumberFormats="0" applyBorderFormats="0" applyFontFormats="0" applyPatternFormats="0" applyAlignmentFormats="0" applyWidthHeightFormats="1" dataCaption="Values" tag="02c23e9c-5d56-4116-86f7-4481cd56d53f" updatedVersion="8" minRefreshableVersion="3" useAutoFormatting="1" subtotalHiddenItems="1" itemPrintTitles="1" createdVersion="8" indent="0" outline="1" outlineData="1" multipleFieldFilters="0" chartFormat="43">
  <location ref="E33:H41" firstHeaderRow="1" firstDataRow="2" firstDataCol="1"/>
  <pivotFields count="4">
    <pivotField dataField="1" subtotalTop="0" showAll="0" defaultSubtotal="0"/>
    <pivotField axis="axisRow" allDrilled="1" subtotalTop="0" showAll="0" dataSourceSort="1" defaultSubtotal="0" defaultAttributeDrillState="1">
      <items count="6">
        <item x="0"/>
        <item x="1"/>
        <item x="2"/>
        <item x="3"/>
        <item x="4"/>
        <item x="5"/>
      </items>
    </pivotField>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7">
    <i>
      <x/>
    </i>
    <i>
      <x v="1"/>
    </i>
    <i>
      <x v="2"/>
    </i>
    <i>
      <x v="3"/>
    </i>
    <i>
      <x v="4"/>
    </i>
    <i>
      <x v="5"/>
    </i>
    <i t="grand">
      <x/>
    </i>
  </rowItems>
  <colFields count="1">
    <field x="2"/>
  </colFields>
  <colItems count="3">
    <i>
      <x/>
    </i>
    <i>
      <x v="1"/>
    </i>
    <i t="grand">
      <x/>
    </i>
  </colItems>
  <dataFields count="1">
    <dataField fld="0" subtotal="count" baseField="0" baseItem="0"/>
  </dataFields>
  <chartFormats count="3">
    <chartFormat chart="25" format="7" series="1">
      <pivotArea type="data" outline="0" fieldPosition="0">
        <references count="1">
          <reference field="4294967294" count="1" selected="0">
            <x v="0"/>
          </reference>
        </references>
      </pivotArea>
    </chartFormat>
    <chartFormat chart="35" format="4" series="1">
      <pivotArea type="data" outline="0" fieldPosition="0">
        <references count="2">
          <reference field="4294967294" count="1" selected="0">
            <x v="0"/>
          </reference>
          <reference field="2" count="1" selected="0">
            <x v="0"/>
          </reference>
        </references>
      </pivotArea>
    </chartFormat>
    <chartFormat chart="35" format="5" series="1">
      <pivotArea type="data" outline="0" fieldPosition="0">
        <references count="2">
          <reference field="4294967294" count="1" selected="0">
            <x v="0"/>
          </reference>
          <reference field="2" count="1" selected="0">
            <x v="1"/>
          </reference>
        </references>
      </pivotArea>
    </chartFormat>
  </chartFormats>
  <pivotHierarchies count="36">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Ag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ADDDA62-EE2D-49C0-B42B-E6DE038795BB}" name="PivotTable8" cacheId="26" applyNumberFormats="0" applyBorderFormats="0" applyFontFormats="0" applyPatternFormats="0" applyAlignmentFormats="0" applyWidthHeightFormats="1" dataCaption="Values" tag="4b4b3d39-b633-4bf2-a3e2-8b7b24880d3e" updatedVersion="8" minRefreshableVersion="3" useAutoFormatting="1" subtotalHiddenItems="1" itemPrintTitles="1" createdVersion="8" indent="0" outline="1" outlineData="1" multipleFieldFilters="0" chartFormat="36">
  <location ref="A16:C20" firstHeaderRow="0" firstDataRow="1" firstDataCol="1"/>
  <pivotFields count="4">
    <pivotField dataField="1" subtotalTop="0" showAll="0" defaultSubtotal="0"/>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1"/>
  </rowFields>
  <rowItems count="4">
    <i>
      <x/>
    </i>
    <i>
      <x v="1"/>
    </i>
    <i>
      <x v="2"/>
    </i>
    <i t="grand">
      <x/>
    </i>
  </rowItems>
  <colFields count="1">
    <field x="-2"/>
  </colFields>
  <colItems count="2">
    <i>
      <x/>
    </i>
    <i i="1">
      <x v="1"/>
    </i>
  </colItems>
  <dataFields count="2">
    <dataField fld="0" subtotal="count" baseField="0" baseItem="0"/>
    <dataField fld="2" subtotal="count" baseField="0" baseItem="0"/>
  </dataFields>
  <chartFormats count="20">
    <chartFormat chart="9" format="5" series="1">
      <pivotArea type="data" outline="0" fieldPosition="0">
        <references count="1">
          <reference field="4294967294" count="1" selected="0">
            <x v="0"/>
          </reference>
        </references>
      </pivotArea>
    </chartFormat>
    <chartFormat chart="25" format="7"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7" format="1" series="1">
      <pivotArea type="data" outline="0" fieldPosition="0">
        <references count="1">
          <reference field="4294967294" count="1" selected="0">
            <x v="1"/>
          </reference>
        </references>
      </pivotArea>
    </chartFormat>
    <chartFormat chart="29" format="2" series="1">
      <pivotArea type="data" outline="0" fieldPosition="0">
        <references count="1">
          <reference field="4294967294" count="1" selected="0">
            <x v="0"/>
          </reference>
        </references>
      </pivotArea>
    </chartFormat>
    <chartFormat chart="29" format="3">
      <pivotArea type="data" outline="0" fieldPosition="0">
        <references count="2">
          <reference field="4294967294" count="1" selected="0">
            <x v="0"/>
          </reference>
          <reference field="1" count="1" selected="0">
            <x v="0"/>
          </reference>
        </references>
      </pivotArea>
    </chartFormat>
    <chartFormat chart="29" format="4">
      <pivotArea type="data" outline="0" fieldPosition="0">
        <references count="2">
          <reference field="4294967294" count="1" selected="0">
            <x v="0"/>
          </reference>
          <reference field="1" count="1" selected="0">
            <x v="1"/>
          </reference>
        </references>
      </pivotArea>
    </chartFormat>
    <chartFormat chart="29" format="5">
      <pivotArea type="data" outline="0" fieldPosition="0">
        <references count="2">
          <reference field="4294967294" count="1" selected="0">
            <x v="0"/>
          </reference>
          <reference field="1" count="1" selected="0">
            <x v="2"/>
          </reference>
        </references>
      </pivotArea>
    </chartFormat>
    <chartFormat chart="29" format="6" series="1">
      <pivotArea type="data" outline="0" fieldPosition="0">
        <references count="1">
          <reference field="4294967294" count="1" selected="0">
            <x v="1"/>
          </reference>
        </references>
      </pivotArea>
    </chartFormat>
    <chartFormat chart="29" format="7">
      <pivotArea type="data" outline="0" fieldPosition="0">
        <references count="2">
          <reference field="4294967294" count="1" selected="0">
            <x v="1"/>
          </reference>
          <reference field="1" count="1" selected="0">
            <x v="0"/>
          </reference>
        </references>
      </pivotArea>
    </chartFormat>
    <chartFormat chart="29" format="8">
      <pivotArea type="data" outline="0" fieldPosition="0">
        <references count="2">
          <reference field="4294967294" count="1" selected="0">
            <x v="1"/>
          </reference>
          <reference field="1" count="1" selected="0">
            <x v="1"/>
          </reference>
        </references>
      </pivotArea>
    </chartFormat>
    <chartFormat chart="29" format="9">
      <pivotArea type="data" outline="0" fieldPosition="0">
        <references count="2">
          <reference field="4294967294" count="1" selected="0">
            <x v="1"/>
          </reference>
          <reference field="1" count="1" selected="0">
            <x v="2"/>
          </reference>
        </references>
      </pivotArea>
    </chartFormat>
    <chartFormat chart="30" format="10" series="1">
      <pivotArea type="data" outline="0" fieldPosition="0">
        <references count="1">
          <reference field="4294967294" count="1" selected="0">
            <x v="0"/>
          </reference>
        </references>
      </pivotArea>
    </chartFormat>
    <chartFormat chart="30" format="11">
      <pivotArea type="data" outline="0" fieldPosition="0">
        <references count="2">
          <reference field="4294967294" count="1" selected="0">
            <x v="0"/>
          </reference>
          <reference field="1" count="1" selected="0">
            <x v="0"/>
          </reference>
        </references>
      </pivotArea>
    </chartFormat>
    <chartFormat chart="30" format="12">
      <pivotArea type="data" outline="0" fieldPosition="0">
        <references count="2">
          <reference field="4294967294" count="1" selected="0">
            <x v="0"/>
          </reference>
          <reference field="1" count="1" selected="0">
            <x v="1"/>
          </reference>
        </references>
      </pivotArea>
    </chartFormat>
    <chartFormat chart="30" format="13">
      <pivotArea type="data" outline="0" fieldPosition="0">
        <references count="2">
          <reference field="4294967294" count="1" selected="0">
            <x v="0"/>
          </reference>
          <reference field="1" count="1" selected="0">
            <x v="2"/>
          </reference>
        </references>
      </pivotArea>
    </chartFormat>
    <chartFormat chart="30" format="14" series="1">
      <pivotArea type="data" outline="0" fieldPosition="0">
        <references count="1">
          <reference field="4294967294" count="1" selected="0">
            <x v="1"/>
          </reference>
        </references>
      </pivotArea>
    </chartFormat>
    <chartFormat chart="30" format="15">
      <pivotArea type="data" outline="0" fieldPosition="0">
        <references count="2">
          <reference field="4294967294" count="1" selected="0">
            <x v="1"/>
          </reference>
          <reference field="1" count="1" selected="0">
            <x v="0"/>
          </reference>
        </references>
      </pivotArea>
    </chartFormat>
    <chartFormat chart="30" format="16">
      <pivotArea type="data" outline="0" fieldPosition="0">
        <references count="2">
          <reference field="4294967294" count="1" selected="0">
            <x v="1"/>
          </reference>
          <reference field="1" count="1" selected="0">
            <x v="1"/>
          </reference>
        </references>
      </pivotArea>
    </chartFormat>
    <chartFormat chart="30" format="17">
      <pivotArea type="data" outline="0" fieldPosition="0">
        <references count="2">
          <reference field="4294967294" count="1" selected="0">
            <x v="1"/>
          </reference>
          <reference field="1" count="1" selected="0">
            <x v="2"/>
          </reference>
        </references>
      </pivotArea>
    </chartFormat>
  </chartFormats>
  <pivotHierarchies count="36">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Ag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1A5215A-683F-464A-BE5E-F5A9BC6F6BF6}" name="PivotTable2" cacheId="14" applyNumberFormats="0" applyBorderFormats="0" applyFontFormats="0" applyPatternFormats="0" applyAlignmentFormats="0" applyWidthHeightFormats="1" dataCaption="Values" tag="ea4ff0ba-001c-4d82-834a-662288c4ffa4" updatedVersion="8" minRefreshableVersion="3" useAutoFormatting="1" subtotalHiddenItems="1" itemPrintTitles="1" createdVersion="8" indent="0" outline="1" outlineData="1" multipleFieldFilters="0" chartFormat="9">
  <location ref="E3:F6"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Age" fld="1" subtotal="count" baseField="0" baseItem="0"/>
  </dataFields>
  <formats count="6">
    <format dxfId="15">
      <pivotArea type="all" dataOnly="0" outline="0" fieldPosition="0"/>
    </format>
    <format dxfId="14">
      <pivotArea outline="0" collapsedLevelsAreSubtotals="1" fieldPosition="0"/>
    </format>
    <format dxfId="13">
      <pivotArea field="0" type="button" dataOnly="0" labelOnly="1" outline="0" axis="axisRow" fieldPosition="0"/>
    </format>
    <format dxfId="12">
      <pivotArea dataOnly="0" labelOnly="1" fieldPosition="0">
        <references count="1">
          <reference field="0" count="0"/>
        </references>
      </pivotArea>
    </format>
    <format dxfId="11">
      <pivotArea dataOnly="0" labelOnly="1" grandRow="1" outline="0" fieldPosition="0"/>
    </format>
    <format dxfId="10">
      <pivotArea dataOnly="0" labelOnly="1" outline="0" axis="axisValues" fieldPosition="0"/>
    </format>
  </formats>
  <chartFormats count="3">
    <chartFormat chart="6"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0" format="6"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Ag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9323060-DBEC-4335-9007-E74C941DEA7D}" name="PivotTable7" cacheId="23" applyNumberFormats="0" applyBorderFormats="0" applyFontFormats="0" applyPatternFormats="0" applyAlignmentFormats="0" applyWidthHeightFormats="1" dataCaption="Values" tag="9f9c5a32-15cd-434d-94b6-139485517650" updatedVersion="8" minRefreshableVersion="3" useAutoFormatting="1" subtotalHiddenItems="1" itemPrintTitles="1" createdVersion="8" indent="0" outline="1" outlineData="1" multipleFieldFilters="0" chartFormat="41">
  <location ref="E21:F27" firstHeaderRow="1" firstDataRow="1" firstDataCol="1"/>
  <pivotFields count="3">
    <pivotField dataField="1" subtotalTop="0" showAll="0" defaultSubtotal="0"/>
    <pivotField axis="axisRow" allDrilled="1" subtotalTop="0" showAll="0" measureFilter="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chartFormats count="4">
    <chartFormat chart="9" format="5" series="1">
      <pivotArea type="data" outline="0" fieldPosition="0">
        <references count="1">
          <reference field="4294967294" count="1" selected="0">
            <x v="0"/>
          </reference>
        </references>
      </pivotArea>
    </chartFormat>
    <chartFormat chart="25" format="7"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3" format="4"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Age"/>
    <pivotHierarchy dragToData="1"/>
    <pivotHierarchy dragToData="1"/>
    <pivotHierarchy dragToData="1"/>
    <pivotHierarchy dragToData="1"/>
    <pivotHierarchy dragToData="1" caption="Average of JobSatisfaction"/>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16">
      <autoFilter ref="A1">
        <filterColumn colId="0">
          <top10 val="5" filterVal="5"/>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F96B0E8-3CAF-46E5-BC3C-8AE75F270196}" name="PivotTable13" cacheId="38" applyNumberFormats="0" applyBorderFormats="0" applyFontFormats="0" applyPatternFormats="0" applyAlignmentFormats="0" applyWidthHeightFormats="1" dataCaption="Values" tag="36de84f2-2341-4f0e-9f38-ace48033723c" updatedVersion="8" minRefreshableVersion="3" useAutoFormatting="1" subtotalHiddenItems="1" itemPrintTitles="1" createdVersion="8" indent="0" outline="1" outlineData="1" multipleFieldFilters="0" chartFormat="45">
  <location ref="E44:E4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36">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Ag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92F07CE-7A0A-4CD4-A176-39F3700D58C8}" name="PivotTable5" cacheId="29" applyNumberFormats="0" applyBorderFormats="0" applyFontFormats="0" applyPatternFormats="0" applyAlignmentFormats="0" applyWidthHeightFormats="1" dataCaption="Values" tag="5e84161a-199c-4e47-a2c7-91212c25c1e5" updatedVersion="8" minRefreshableVersion="3" useAutoFormatting="1" subtotalHiddenItems="1" itemPrintTitles="1" createdVersion="8" indent="0" outline="1" outlineData="1" multipleFieldFilters="0" chartFormat="45">
  <location ref="H21:M26" firstHeaderRow="1" firstDataRow="2" firstDataCol="1"/>
  <pivotFields count="5">
    <pivotField allDrilled="1" subtotalTop="0" showAll="0" measureFilter="1" defaultSubtotal="0" defaultAttributeDrillState="1">
      <items count="5">
        <item x="0"/>
        <item x="1"/>
        <item x="2"/>
        <item x="3"/>
        <item x="4"/>
      </items>
    </pivotField>
    <pivotField dataField="1" subtotalTop="0" showAll="0" defaultSubtotal="0"/>
    <pivotField axis="axisCol"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3"/>
  </rowFields>
  <rowItems count="4">
    <i>
      <x/>
    </i>
    <i>
      <x v="1"/>
    </i>
    <i>
      <x v="2"/>
    </i>
    <i t="grand">
      <x/>
    </i>
  </rowItems>
  <colFields count="1">
    <field x="2"/>
  </colFields>
  <colItems count="5">
    <i>
      <x/>
    </i>
    <i>
      <x v="1"/>
    </i>
    <i>
      <x v="2"/>
    </i>
    <i>
      <x v="3"/>
    </i>
    <i t="grand">
      <x/>
    </i>
  </colItems>
  <dataFields count="1">
    <dataField fld="1" subtotal="count" baseField="0" baseItem="0"/>
  </dataFields>
  <chartFormats count="4">
    <chartFormat chart="43" format="8" series="1">
      <pivotArea type="data" outline="0" fieldPosition="0">
        <references count="2">
          <reference field="4294967294" count="1" selected="0">
            <x v="0"/>
          </reference>
          <reference field="2" count="1" selected="0">
            <x v="0"/>
          </reference>
        </references>
      </pivotArea>
    </chartFormat>
    <chartFormat chart="43" format="9" series="1">
      <pivotArea type="data" outline="0" fieldPosition="0">
        <references count="2">
          <reference field="4294967294" count="1" selected="0">
            <x v="0"/>
          </reference>
          <reference field="2" count="1" selected="0">
            <x v="1"/>
          </reference>
        </references>
      </pivotArea>
    </chartFormat>
    <chartFormat chart="43" format="10" series="1">
      <pivotArea type="data" outline="0" fieldPosition="0">
        <references count="2">
          <reference field="4294967294" count="1" selected="0">
            <x v="0"/>
          </reference>
          <reference field="2" count="1" selected="0">
            <x v="2"/>
          </reference>
        </references>
      </pivotArea>
    </chartFormat>
    <chartFormat chart="43" format="11" series="1">
      <pivotArea type="data" outline="0" fieldPosition="0">
        <references count="2">
          <reference field="4294967294" count="1" selected="0">
            <x v="0"/>
          </reference>
          <reference field="2" count="1" selected="0">
            <x v="3"/>
          </reference>
        </references>
      </pivotArea>
    </chartFormat>
  </chartFormats>
  <pivotHierarchies count="36">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Age"/>
    <pivotHierarchy dragToData="1"/>
    <pivotHierarchy dragToData="1"/>
    <pivotHierarchy dragToData="1"/>
    <pivotHierarchy dragToData="1"/>
    <pivotHierarchy dragToData="1" caption="Average of JobSatisfaction"/>
    <pivotHierarchy dragToData="1"/>
    <pivotHierarchy dragToData="1" caption="Count of WorkLifeBalance"/>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16">
      <autoFilter ref="A1">
        <filterColumn colId="0">
          <top10 val="5" filterVal="5"/>
        </filterColumn>
      </autoFilter>
    </filter>
  </filters>
  <rowHierarchiesUsage count="1">
    <rowHierarchyUsage hierarchyUsage="2"/>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39ED6B7-7E38-489E-8F7B-6C3F981F27D5}" name="PivotTable12" cacheId="35" applyNumberFormats="0" applyBorderFormats="0" applyFontFormats="0" applyPatternFormats="0" applyAlignmentFormats="0" applyWidthHeightFormats="1" dataCaption="Values" tag="213b4650-7a7e-432e-8cc3-8eb0a56f5ffd" updatedVersion="8" minRefreshableVersion="3" useAutoFormatting="1" subtotalHiddenItems="1" itemPrintTitles="1" createdVersion="8" indent="0" outline="1" outlineData="1" multipleFieldFilters="0" chartFormat="45">
  <location ref="J33:K36"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dataFields>
  <chartFormats count="1">
    <chartFormat chart="43" format="241"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Ag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2BFF206-3239-4417-B9EA-F58DCC680701}" name="PivotTable6" cacheId="20" applyNumberFormats="0" applyBorderFormats="0" applyFontFormats="0" applyPatternFormats="0" applyAlignmentFormats="0" applyWidthHeightFormats="1" dataCaption="Values" tag="2103faac-7917-4a84-8c52-73672ac3a43b" updatedVersion="8" minRefreshableVersion="3" useAutoFormatting="1" subtotalHiddenItems="1" itemPrintTitles="1" createdVersion="8" indent="0" outline="1" outlineData="1" multipleFieldFilters="0" chartFormat="3">
  <location ref="K13:M16" firstHeaderRow="0"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Fields count="1">
    <field x="-2"/>
  </colFields>
  <colItems count="2">
    <i>
      <x/>
    </i>
    <i i="1">
      <x v="1"/>
    </i>
  </colItems>
  <dataFields count="2">
    <dataField fld="0" subtotal="count" baseField="0" baseItem="0"/>
    <dataField fld="2" subtotal="count" baseField="1" baseItem="0" numFmtId="10"/>
  </dataFields>
  <formats count="4">
    <format dxfId="19">
      <pivotArea field="1" grandRow="1" outline="0" collapsedLevelsAreSubtotals="1" axis="axisRow" fieldPosition="0">
        <references count="1">
          <reference field="4294967294" count="1" selected="0">
            <x v="1"/>
          </reference>
        </references>
      </pivotArea>
    </format>
    <format dxfId="18">
      <pivotArea collapsedLevelsAreSubtotals="1" fieldPosition="0">
        <references count="2">
          <reference field="4294967294" count="1" selected="0">
            <x v="1"/>
          </reference>
          <reference field="1" count="1">
            <x v="0"/>
          </reference>
        </references>
      </pivotArea>
    </format>
    <format dxfId="17">
      <pivotArea collapsedLevelsAreSubtotals="1" fieldPosition="0">
        <references count="2">
          <reference field="4294967294" count="1" selected="0">
            <x v="1"/>
          </reference>
          <reference field="1" count="1">
            <x v="1"/>
          </reference>
        </references>
      </pivotArea>
    </format>
    <format dxfId="16">
      <pivotArea outline="0" fieldPosition="0">
        <references count="1">
          <reference field="4294967294" count="1">
            <x v="1"/>
          </reference>
        </references>
      </pivotArea>
    </format>
  </formats>
  <pivotHierarchies count="36">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Ag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7181010-2699-4722-9294-C7440DDB0BE5}" sourceName="[HR].[Gender]">
  <pivotTables>
    <pivotTable tabId="1" name="PivotTable2"/>
    <pivotTable tabId="1" name="PivotTable4"/>
    <pivotTable tabId="1" name="PivotTable6"/>
    <pivotTable tabId="1" name="PivotTable7"/>
    <pivotTable tabId="1" name="PivotTable8"/>
    <pivotTable tabId="1" name="PivotTable5"/>
    <pivotTable tabId="1" name="PivotTable11"/>
    <pivotTable tabId="1" name="PivotTable12"/>
    <pivotTable tabId="1" name="PivotTable13"/>
    <pivotTable tabId="1" name="PivotTable14"/>
    <pivotTable tabId="1" name="PivotTable9"/>
  </pivotTables>
  <data>
    <olap pivotCacheId="1428840747">
      <levels count="2">
        <level uniqueName="[HR].[Gender].[(All)]" sourceCaption="(All)" count="0"/>
        <level uniqueName="[HR].[Gender].[Gender]" sourceCaption="Gender" count="2">
          <ranges>
            <range startItem="0">
              <i n="[HR].[Gender].&amp;[Female]" c="Female"/>
              <i n="[HR].[Gender].&amp;[Male]" c="Male"/>
            </range>
          </ranges>
        </level>
      </levels>
      <selections count="1">
        <selection n="[HR].[Gend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BD040A76-1B46-4E73-A0C3-1472E223FB84}" cache="Slicer_Gender" caption="Gender"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B7880-77F5-44E2-B31B-8E1C17D17C6E}">
  <dimension ref="A1:M51"/>
  <sheetViews>
    <sheetView zoomScale="45" zoomScaleNormal="79" workbookViewId="0">
      <selection activeCell="B41" sqref="B41"/>
    </sheetView>
  </sheetViews>
  <sheetFormatPr defaultRowHeight="14.4" x14ac:dyDescent="0.3"/>
  <cols>
    <col min="1" max="1" width="19.88671875" bestFit="1" customWidth="1"/>
    <col min="2" max="2" width="18.88671875" bestFit="1" customWidth="1"/>
    <col min="3" max="3" width="20.88671875" bestFit="1" customWidth="1"/>
    <col min="4" max="4" width="10.77734375" bestFit="1" customWidth="1"/>
    <col min="5" max="5" width="39.33203125" bestFit="1" customWidth="1"/>
    <col min="6" max="6" width="23.33203125" bestFit="1" customWidth="1"/>
    <col min="7" max="7" width="5" bestFit="1" customWidth="1"/>
    <col min="8" max="8" width="19.88671875" bestFit="1" customWidth="1"/>
    <col min="9" max="9" width="33" bestFit="1" customWidth="1"/>
    <col min="10" max="11" width="18.88671875" bestFit="1" customWidth="1"/>
    <col min="12" max="12" width="12.44140625" bestFit="1" customWidth="1"/>
    <col min="13" max="13" width="15.44140625" bestFit="1" customWidth="1"/>
    <col min="14" max="105" width="5" bestFit="1" customWidth="1"/>
    <col min="106" max="118" width="6" bestFit="1" customWidth="1"/>
    <col min="119" max="119" width="5.77734375" bestFit="1" customWidth="1"/>
    <col min="120" max="232" width="5" bestFit="1" customWidth="1"/>
    <col min="233" max="244" width="6" bestFit="1" customWidth="1"/>
    <col min="245" max="245" width="11.109375" bestFit="1" customWidth="1"/>
    <col min="246" max="1082" width="5" bestFit="1" customWidth="1"/>
    <col min="1083" max="1359" width="6" bestFit="1" customWidth="1"/>
    <col min="1360" max="1360" width="11.109375" bestFit="1" customWidth="1"/>
  </cols>
  <sheetData>
    <row r="1" spans="1:13" x14ac:dyDescent="0.3">
      <c r="E1" s="11" t="s">
        <v>34</v>
      </c>
      <c r="F1" s="12"/>
      <c r="J1" s="10"/>
      <c r="K1" s="10"/>
    </row>
    <row r="2" spans="1:13" x14ac:dyDescent="0.3">
      <c r="E2" s="12"/>
      <c r="F2" s="12"/>
      <c r="J2" s="10"/>
      <c r="K2" s="10"/>
    </row>
    <row r="3" spans="1:13" x14ac:dyDescent="0.3">
      <c r="E3" s="7" t="s">
        <v>0</v>
      </c>
      <c r="F3" s="6" t="s">
        <v>2</v>
      </c>
    </row>
    <row r="4" spans="1:13" x14ac:dyDescent="0.3">
      <c r="E4" s="8" t="s">
        <v>33</v>
      </c>
      <c r="F4" s="14">
        <v>588</v>
      </c>
      <c r="H4">
        <f>GETPIVOTDATA("[Measures].[Count of Age]",$E$3,"[HR].[Gender]","[HR].[Gender].&amp;[Female]")</f>
        <v>588</v>
      </c>
    </row>
    <row r="5" spans="1:13" x14ac:dyDescent="0.3">
      <c r="E5" s="8" t="s">
        <v>43</v>
      </c>
      <c r="F5" s="14">
        <v>882</v>
      </c>
      <c r="H5">
        <f>GETPIVOTDATA("[Measures].[Count of Age]",$E$3,"[HR].[Gender]","[HR].[Gender].&amp;[Male]")</f>
        <v>882</v>
      </c>
    </row>
    <row r="6" spans="1:13" x14ac:dyDescent="0.3">
      <c r="E6" s="8" t="s">
        <v>1</v>
      </c>
      <c r="F6" s="14">
        <v>1470</v>
      </c>
      <c r="H6">
        <f>GETPIVOTDATA("[Measures].[Count of Age]",$E$3)</f>
        <v>1470</v>
      </c>
    </row>
    <row r="7" spans="1:13" x14ac:dyDescent="0.3">
      <c r="E7" s="9" t="s">
        <v>35</v>
      </c>
      <c r="F7" s="10"/>
    </row>
    <row r="8" spans="1:13" x14ac:dyDescent="0.3">
      <c r="E8" s="10"/>
      <c r="F8" s="10"/>
    </row>
    <row r="10" spans="1:13" x14ac:dyDescent="0.3">
      <c r="E10" s="1" t="s">
        <v>0</v>
      </c>
      <c r="F10" t="s">
        <v>6</v>
      </c>
    </row>
    <row r="11" spans="1:13" x14ac:dyDescent="0.3">
      <c r="E11" s="2" t="s">
        <v>3</v>
      </c>
      <c r="F11" s="13">
        <v>12</v>
      </c>
      <c r="K11" s="9" t="s">
        <v>38</v>
      </c>
      <c r="L11" s="10"/>
      <c r="M11" s="10"/>
    </row>
    <row r="12" spans="1:13" x14ac:dyDescent="0.3">
      <c r="E12" s="2" t="s">
        <v>4</v>
      </c>
      <c r="F12" s="13">
        <v>133</v>
      </c>
      <c r="K12" s="10"/>
      <c r="L12" s="10"/>
      <c r="M12" s="10"/>
    </row>
    <row r="13" spans="1:13" x14ac:dyDescent="0.3">
      <c r="E13" s="2" t="s">
        <v>5</v>
      </c>
      <c r="F13" s="13">
        <v>92</v>
      </c>
      <c r="K13" s="1" t="s">
        <v>0</v>
      </c>
      <c r="L13" t="s">
        <v>6</v>
      </c>
      <c r="M13" t="s">
        <v>7</v>
      </c>
    </row>
    <row r="14" spans="1:13" x14ac:dyDescent="0.3">
      <c r="A14" s="9" t="s">
        <v>36</v>
      </c>
      <c r="B14" s="9"/>
      <c r="C14" s="9"/>
      <c r="E14" s="2" t="s">
        <v>1</v>
      </c>
      <c r="F14" s="13">
        <v>237</v>
      </c>
      <c r="K14" s="2" t="s">
        <v>33</v>
      </c>
      <c r="L14" s="13">
        <v>87</v>
      </c>
      <c r="M14" s="3">
        <v>0.14795918367346939</v>
      </c>
    </row>
    <row r="15" spans="1:13" x14ac:dyDescent="0.3">
      <c r="A15" s="9"/>
      <c r="B15" s="9"/>
      <c r="C15" s="9"/>
      <c r="K15" s="2" t="s">
        <v>43</v>
      </c>
      <c r="L15" s="13">
        <v>150</v>
      </c>
      <c r="M15" s="3">
        <v>0.17006802721088435</v>
      </c>
    </row>
    <row r="16" spans="1:13" x14ac:dyDescent="0.3">
      <c r="A16" s="1" t="s">
        <v>0</v>
      </c>
      <c r="B16" t="s">
        <v>6</v>
      </c>
      <c r="C16" t="s">
        <v>15</v>
      </c>
      <c r="K16" s="2" t="s">
        <v>1</v>
      </c>
      <c r="L16" s="13">
        <v>237</v>
      </c>
      <c r="M16" s="3">
        <v>0.16122448979591836</v>
      </c>
    </row>
    <row r="17" spans="1:13" x14ac:dyDescent="0.3">
      <c r="A17" s="2" t="s">
        <v>10</v>
      </c>
      <c r="B17" s="13">
        <v>33</v>
      </c>
      <c r="C17" s="13">
        <v>327</v>
      </c>
      <c r="M17" s="4">
        <f>GETPIVOTDATA("[Measures].[Attrition rate]",$K$13)</f>
        <v>0.16122448979591836</v>
      </c>
    </row>
    <row r="18" spans="1:13" x14ac:dyDescent="0.3">
      <c r="A18" s="2" t="s">
        <v>9</v>
      </c>
      <c r="B18" s="13">
        <v>84</v>
      </c>
      <c r="C18" s="13">
        <v>673</v>
      </c>
    </row>
    <row r="19" spans="1:13" x14ac:dyDescent="0.3">
      <c r="A19" s="2" t="s">
        <v>12</v>
      </c>
      <c r="B19" s="13">
        <v>120</v>
      </c>
      <c r="C19" s="13">
        <v>470</v>
      </c>
      <c r="E19" s="9" t="s">
        <v>37</v>
      </c>
      <c r="F19" s="10"/>
      <c r="H19" s="9" t="s">
        <v>39</v>
      </c>
      <c r="I19" s="10"/>
      <c r="J19" s="10"/>
    </row>
    <row r="20" spans="1:13" x14ac:dyDescent="0.3">
      <c r="A20" s="2" t="s">
        <v>1</v>
      </c>
      <c r="B20" s="13">
        <v>237</v>
      </c>
      <c r="C20" s="13">
        <v>1470</v>
      </c>
      <c r="E20" s="10"/>
      <c r="F20" s="10"/>
      <c r="H20" s="10"/>
      <c r="I20" s="10"/>
      <c r="J20" s="10"/>
    </row>
    <row r="21" spans="1:13" x14ac:dyDescent="0.3">
      <c r="E21" s="1" t="s">
        <v>0</v>
      </c>
      <c r="F21" t="s">
        <v>6</v>
      </c>
      <c r="H21" s="1" t="s">
        <v>6</v>
      </c>
      <c r="I21" s="1" t="s">
        <v>23</v>
      </c>
    </row>
    <row r="22" spans="1:13" x14ac:dyDescent="0.3">
      <c r="E22" s="2" t="s">
        <v>3</v>
      </c>
      <c r="F22" s="13">
        <v>12</v>
      </c>
      <c r="H22" s="1" t="s">
        <v>0</v>
      </c>
      <c r="I22" t="s">
        <v>24</v>
      </c>
      <c r="J22" t="s">
        <v>26</v>
      </c>
      <c r="K22" t="s">
        <v>27</v>
      </c>
      <c r="L22" t="s">
        <v>25</v>
      </c>
      <c r="M22" t="s">
        <v>1</v>
      </c>
    </row>
    <row r="23" spans="1:13" x14ac:dyDescent="0.3">
      <c r="E23" s="2" t="s">
        <v>8</v>
      </c>
      <c r="F23" s="13">
        <v>62</v>
      </c>
      <c r="H23" s="2" t="s">
        <v>30</v>
      </c>
      <c r="I23" s="13">
        <v>4</v>
      </c>
      <c r="J23" s="13">
        <v>1</v>
      </c>
      <c r="K23" s="13">
        <v>2</v>
      </c>
      <c r="L23" s="13">
        <v>5</v>
      </c>
      <c r="M23" s="13">
        <v>12</v>
      </c>
    </row>
    <row r="24" spans="1:13" x14ac:dyDescent="0.3">
      <c r="E24" s="2" t="s">
        <v>13</v>
      </c>
      <c r="F24" s="13">
        <v>47</v>
      </c>
      <c r="H24" s="2" t="s">
        <v>28</v>
      </c>
      <c r="I24" s="13">
        <v>15</v>
      </c>
      <c r="J24" s="13">
        <v>6</v>
      </c>
      <c r="K24" s="13">
        <v>8</v>
      </c>
      <c r="L24" s="13">
        <v>40</v>
      </c>
      <c r="M24" s="13">
        <v>69</v>
      </c>
    </row>
    <row r="25" spans="1:13" x14ac:dyDescent="0.3">
      <c r="E25" s="2" t="s">
        <v>14</v>
      </c>
      <c r="F25" s="13">
        <v>57</v>
      </c>
      <c r="H25" s="2" t="s">
        <v>29</v>
      </c>
      <c r="I25" s="13">
        <v>39</v>
      </c>
      <c r="J25" s="13">
        <v>18</v>
      </c>
      <c r="K25" s="13">
        <v>17</v>
      </c>
      <c r="L25" s="13">
        <v>82</v>
      </c>
      <c r="M25" s="13">
        <v>156</v>
      </c>
    </row>
    <row r="26" spans="1:13" x14ac:dyDescent="0.3">
      <c r="E26" s="2" t="s">
        <v>11</v>
      </c>
      <c r="F26" s="13">
        <v>33</v>
      </c>
      <c r="H26" s="2" t="s">
        <v>1</v>
      </c>
      <c r="I26" s="13">
        <v>58</v>
      </c>
      <c r="J26" s="13">
        <v>25</v>
      </c>
      <c r="K26" s="13">
        <v>27</v>
      </c>
      <c r="L26" s="13">
        <v>127</v>
      </c>
      <c r="M26" s="13">
        <v>237</v>
      </c>
    </row>
    <row r="27" spans="1:13" x14ac:dyDescent="0.3">
      <c r="E27" s="2" t="s">
        <v>1</v>
      </c>
      <c r="F27" s="13">
        <v>211</v>
      </c>
    </row>
    <row r="31" spans="1:13" x14ac:dyDescent="0.3">
      <c r="E31" s="9" t="s">
        <v>40</v>
      </c>
      <c r="F31" s="10"/>
      <c r="G31" s="10"/>
      <c r="J31" s="9" t="s">
        <v>41</v>
      </c>
      <c r="K31" s="10"/>
    </row>
    <row r="32" spans="1:13" x14ac:dyDescent="0.3">
      <c r="E32" s="10"/>
      <c r="F32" s="10"/>
      <c r="G32" s="10"/>
      <c r="J32" s="10"/>
      <c r="K32" s="10"/>
    </row>
    <row r="33" spans="5:11" x14ac:dyDescent="0.3">
      <c r="E33" s="1" t="s">
        <v>6</v>
      </c>
      <c r="F33" s="1" t="s">
        <v>23</v>
      </c>
      <c r="J33" s="1" t="s">
        <v>0</v>
      </c>
      <c r="K33" t="s">
        <v>6</v>
      </c>
    </row>
    <row r="34" spans="5:11" x14ac:dyDescent="0.3">
      <c r="E34" s="1" t="s">
        <v>0</v>
      </c>
      <c r="F34">
        <v>3</v>
      </c>
      <c r="G34">
        <v>4</v>
      </c>
      <c r="H34" t="s">
        <v>1</v>
      </c>
      <c r="J34" s="2" t="s">
        <v>21</v>
      </c>
      <c r="K34" s="13">
        <v>110</v>
      </c>
    </row>
    <row r="35" spans="5:11" x14ac:dyDescent="0.3">
      <c r="E35" s="2" t="s">
        <v>3</v>
      </c>
      <c r="F35" s="13">
        <v>6</v>
      </c>
      <c r="G35" s="13">
        <v>1</v>
      </c>
      <c r="H35" s="13">
        <v>7</v>
      </c>
      <c r="J35" s="2" t="s">
        <v>22</v>
      </c>
      <c r="K35" s="13">
        <v>127</v>
      </c>
    </row>
    <row r="36" spans="5:11" x14ac:dyDescent="0.3">
      <c r="E36" s="2" t="s">
        <v>16</v>
      </c>
      <c r="F36" s="13">
        <v>72</v>
      </c>
      <c r="G36" s="13">
        <v>17</v>
      </c>
      <c r="H36" s="13">
        <v>89</v>
      </c>
      <c r="J36" s="2" t="s">
        <v>1</v>
      </c>
      <c r="K36" s="13">
        <v>237</v>
      </c>
    </row>
    <row r="37" spans="5:11" x14ac:dyDescent="0.3">
      <c r="E37" s="2" t="s">
        <v>17</v>
      </c>
      <c r="F37" s="13">
        <v>33</v>
      </c>
      <c r="G37" s="13">
        <v>2</v>
      </c>
      <c r="H37" s="13">
        <v>35</v>
      </c>
    </row>
    <row r="38" spans="5:11" x14ac:dyDescent="0.3">
      <c r="E38" s="2" t="s">
        <v>18</v>
      </c>
      <c r="F38" s="13">
        <v>54</v>
      </c>
      <c r="G38" s="13">
        <v>9</v>
      </c>
      <c r="H38" s="13">
        <v>63</v>
      </c>
    </row>
    <row r="39" spans="5:11" x14ac:dyDescent="0.3">
      <c r="E39" s="2" t="s">
        <v>19</v>
      </c>
      <c r="F39" s="13">
        <v>9</v>
      </c>
      <c r="G39" s="13">
        <v>2</v>
      </c>
      <c r="H39" s="13">
        <v>11</v>
      </c>
    </row>
    <row r="40" spans="5:11" x14ac:dyDescent="0.3">
      <c r="E40" s="2" t="s">
        <v>20</v>
      </c>
      <c r="F40" s="13">
        <v>26</v>
      </c>
      <c r="G40" s="13">
        <v>6</v>
      </c>
      <c r="H40" s="13">
        <v>32</v>
      </c>
    </row>
    <row r="41" spans="5:11" x14ac:dyDescent="0.3">
      <c r="E41" s="2" t="s">
        <v>1</v>
      </c>
      <c r="F41" s="13">
        <v>200</v>
      </c>
      <c r="G41" s="13">
        <v>37</v>
      </c>
      <c r="H41" s="13">
        <v>237</v>
      </c>
      <c r="J41" t="s">
        <v>6</v>
      </c>
    </row>
    <row r="42" spans="5:11" x14ac:dyDescent="0.3">
      <c r="J42" s="13">
        <v>237</v>
      </c>
      <c r="K42">
        <f>GETPIVOTDATA("[Measures].[Employess left]",$J$41)</f>
        <v>237</v>
      </c>
    </row>
    <row r="44" spans="5:11" x14ac:dyDescent="0.3">
      <c r="E44" t="s">
        <v>31</v>
      </c>
    </row>
    <row r="45" spans="5:11" x14ac:dyDescent="0.3">
      <c r="E45" s="13">
        <v>416</v>
      </c>
      <c r="F45">
        <f>GETPIVOTDATA("[Measures].[EMPLOYESS DOING OVERTIME]",$E$44)</f>
        <v>416</v>
      </c>
    </row>
    <row r="46" spans="5:11" x14ac:dyDescent="0.3">
      <c r="H46" s="9" t="s">
        <v>42</v>
      </c>
      <c r="I46" s="10"/>
    </row>
    <row r="47" spans="5:11" x14ac:dyDescent="0.3">
      <c r="H47" s="10"/>
      <c r="I47" s="10"/>
    </row>
    <row r="48" spans="5:11" x14ac:dyDescent="0.3">
      <c r="H48" s="1" t="s">
        <v>0</v>
      </c>
      <c r="I48" t="s">
        <v>32</v>
      </c>
    </row>
    <row r="49" spans="8:11" x14ac:dyDescent="0.3">
      <c r="H49" s="2" t="s">
        <v>21</v>
      </c>
      <c r="I49" s="13">
        <v>6832.7396593673966</v>
      </c>
    </row>
    <row r="50" spans="8:11" x14ac:dyDescent="0.3">
      <c r="H50" s="2" t="s">
        <v>22</v>
      </c>
      <c r="I50" s="13">
        <v>4787.0928270042195</v>
      </c>
    </row>
    <row r="51" spans="8:11" x14ac:dyDescent="0.3">
      <c r="H51" s="2" t="s">
        <v>1</v>
      </c>
      <c r="I51" s="13">
        <v>6502.931292517007</v>
      </c>
      <c r="K51" s="5">
        <f>GETPIVOTDATA("[Measures].[Average of MonthlyIncome]",$H$48)</f>
        <v>6502.931292517007</v>
      </c>
    </row>
  </sheetData>
  <mergeCells count="10">
    <mergeCell ref="H46:I47"/>
    <mergeCell ref="E1:F2"/>
    <mergeCell ref="J1:K2"/>
    <mergeCell ref="E7:F8"/>
    <mergeCell ref="A14:C15"/>
    <mergeCell ref="E19:F20"/>
    <mergeCell ref="K11:M12"/>
    <mergeCell ref="H19:J20"/>
    <mergeCell ref="E31:G32"/>
    <mergeCell ref="J31:K32"/>
  </mergeCells>
  <pageMargins left="0.7" right="0.7" top="0.75" bottom="0.75" header="0.3" footer="0.3"/>
  <pageSetup orientation="portrait"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FF84A-1013-490B-8DB2-B2DFF635825B}">
  <dimension ref="A1:W45"/>
  <sheetViews>
    <sheetView tabSelected="1" zoomScale="60" zoomScaleNormal="70" workbookViewId="0">
      <selection sqref="A1:W45"/>
    </sheetView>
  </sheetViews>
  <sheetFormatPr defaultRowHeight="14.4" x14ac:dyDescent="0.3"/>
  <sheetData>
    <row r="1" spans="1:23" x14ac:dyDescent="0.3">
      <c r="A1" s="15"/>
      <c r="B1" s="15"/>
      <c r="C1" s="15"/>
      <c r="D1" s="15"/>
      <c r="E1" s="15"/>
      <c r="F1" s="15"/>
      <c r="G1" s="15"/>
      <c r="H1" s="15"/>
      <c r="I1" s="15"/>
      <c r="J1" s="15"/>
      <c r="K1" s="15"/>
      <c r="L1" s="15"/>
      <c r="M1" s="15"/>
      <c r="N1" s="15"/>
      <c r="O1" s="15"/>
      <c r="P1" s="15"/>
      <c r="Q1" s="15"/>
      <c r="R1" s="15"/>
      <c r="S1" s="15"/>
      <c r="T1" s="15"/>
      <c r="U1" s="15"/>
      <c r="V1" s="15"/>
      <c r="W1" s="15"/>
    </row>
    <row r="2" spans="1:23" x14ac:dyDescent="0.3">
      <c r="A2" s="15"/>
      <c r="B2" s="15"/>
      <c r="C2" s="15"/>
      <c r="D2" s="15"/>
      <c r="E2" s="15"/>
      <c r="F2" s="15"/>
      <c r="G2" s="15"/>
      <c r="H2" s="15"/>
      <c r="I2" s="15"/>
      <c r="J2" s="15"/>
      <c r="K2" s="15"/>
      <c r="L2" s="15"/>
      <c r="M2" s="15"/>
      <c r="N2" s="15"/>
      <c r="O2" s="15"/>
      <c r="P2" s="15"/>
      <c r="Q2" s="15"/>
      <c r="R2" s="15"/>
      <c r="S2" s="15"/>
      <c r="T2" s="15"/>
      <c r="U2" s="15"/>
      <c r="V2" s="15"/>
      <c r="W2" s="15"/>
    </row>
    <row r="3" spans="1:23" x14ac:dyDescent="0.3">
      <c r="A3" s="15"/>
      <c r="B3" s="15"/>
      <c r="C3" s="15"/>
      <c r="D3" s="15"/>
      <c r="E3" s="15"/>
      <c r="F3" s="15"/>
      <c r="G3" s="15"/>
      <c r="H3" s="15"/>
      <c r="I3" s="15"/>
      <c r="J3" s="15"/>
      <c r="K3" s="15"/>
      <c r="L3" s="15"/>
      <c r="M3" s="15"/>
      <c r="N3" s="15"/>
      <c r="O3" s="15"/>
      <c r="P3" s="15"/>
      <c r="Q3" s="15"/>
      <c r="R3" s="15"/>
      <c r="S3" s="15"/>
      <c r="T3" s="15"/>
      <c r="U3" s="15"/>
      <c r="V3" s="15"/>
      <c r="W3" s="15"/>
    </row>
    <row r="4" spans="1:23" x14ac:dyDescent="0.3">
      <c r="A4" s="15"/>
      <c r="B4" s="15"/>
      <c r="C4" s="15"/>
      <c r="D4" s="15"/>
      <c r="E4" s="15"/>
      <c r="F4" s="15"/>
      <c r="G4" s="15"/>
      <c r="H4" s="15"/>
      <c r="I4" s="15"/>
      <c r="J4" s="15"/>
      <c r="K4" s="15"/>
      <c r="L4" s="15"/>
      <c r="M4" s="15"/>
      <c r="N4" s="15"/>
      <c r="O4" s="15"/>
      <c r="P4" s="15"/>
      <c r="Q4" s="15"/>
      <c r="R4" s="15"/>
      <c r="S4" s="15"/>
      <c r="T4" s="15"/>
      <c r="U4" s="15"/>
      <c r="V4" s="15"/>
      <c r="W4" s="15"/>
    </row>
    <row r="5" spans="1:23" x14ac:dyDescent="0.3">
      <c r="A5" s="15"/>
      <c r="B5" s="15"/>
      <c r="C5" s="15"/>
      <c r="D5" s="15"/>
      <c r="E5" s="15"/>
      <c r="F5" s="15"/>
      <c r="G5" s="15"/>
      <c r="H5" s="15"/>
      <c r="I5" s="15"/>
      <c r="J5" s="15"/>
      <c r="K5" s="15"/>
      <c r="L5" s="15"/>
      <c r="M5" s="15"/>
      <c r="N5" s="15"/>
      <c r="O5" s="15"/>
      <c r="P5" s="15"/>
      <c r="Q5" s="15"/>
      <c r="R5" s="15"/>
      <c r="S5" s="15"/>
      <c r="T5" s="15"/>
      <c r="U5" s="15"/>
      <c r="V5" s="15"/>
      <c r="W5" s="15"/>
    </row>
    <row r="6" spans="1:23" x14ac:dyDescent="0.3">
      <c r="A6" s="15"/>
      <c r="B6" s="15"/>
      <c r="C6" s="15"/>
      <c r="D6" s="15"/>
      <c r="E6" s="15"/>
      <c r="F6" s="15"/>
      <c r="G6" s="15"/>
      <c r="H6" s="15"/>
      <c r="I6" s="15"/>
      <c r="J6" s="15"/>
      <c r="K6" s="15"/>
      <c r="L6" s="15"/>
      <c r="M6" s="15"/>
      <c r="N6" s="15"/>
      <c r="O6" s="15"/>
      <c r="P6" s="15"/>
      <c r="Q6" s="15"/>
      <c r="R6" s="15"/>
      <c r="S6" s="15"/>
      <c r="T6" s="15"/>
      <c r="U6" s="15"/>
      <c r="V6" s="15"/>
      <c r="W6" s="15"/>
    </row>
    <row r="7" spans="1:23" x14ac:dyDescent="0.3">
      <c r="A7" s="15"/>
      <c r="B7" s="15"/>
      <c r="C7" s="15"/>
      <c r="D7" s="15"/>
      <c r="E7" s="15"/>
      <c r="F7" s="15"/>
      <c r="G7" s="15"/>
      <c r="H7" s="15"/>
      <c r="I7" s="15"/>
      <c r="J7" s="15"/>
      <c r="K7" s="15"/>
      <c r="L7" s="15"/>
      <c r="M7" s="15"/>
      <c r="N7" s="15"/>
      <c r="O7" s="15"/>
      <c r="P7" s="15"/>
      <c r="Q7" s="15"/>
      <c r="R7" s="15"/>
      <c r="S7" s="15"/>
      <c r="T7" s="15"/>
      <c r="U7" s="15"/>
      <c r="V7" s="15"/>
      <c r="W7" s="15"/>
    </row>
    <row r="8" spans="1:23" x14ac:dyDescent="0.3">
      <c r="A8" s="15"/>
      <c r="B8" s="15"/>
      <c r="C8" s="15"/>
      <c r="D8" s="15"/>
      <c r="E8" s="15"/>
      <c r="F8" s="15"/>
      <c r="G8" s="15"/>
      <c r="H8" s="15"/>
      <c r="I8" s="15"/>
      <c r="J8" s="15"/>
      <c r="K8" s="15"/>
      <c r="L8" s="15"/>
      <c r="M8" s="15"/>
      <c r="N8" s="15"/>
      <c r="O8" s="15"/>
      <c r="P8" s="15"/>
      <c r="Q8" s="15"/>
      <c r="R8" s="15"/>
      <c r="S8" s="15"/>
      <c r="T8" s="15"/>
      <c r="U8" s="15"/>
      <c r="V8" s="15"/>
      <c r="W8" s="15"/>
    </row>
    <row r="9" spans="1:23" x14ac:dyDescent="0.3">
      <c r="A9" s="15"/>
      <c r="B9" s="15"/>
      <c r="C9" s="15"/>
      <c r="D9" s="15"/>
      <c r="E9" s="15"/>
      <c r="F9" s="15"/>
      <c r="G9" s="15"/>
      <c r="H9" s="15"/>
      <c r="I9" s="15"/>
      <c r="J9" s="15"/>
      <c r="K9" s="15"/>
      <c r="L9" s="15"/>
      <c r="M9" s="15"/>
      <c r="N9" s="15"/>
      <c r="O9" s="15"/>
      <c r="P9" s="15"/>
      <c r="Q9" s="15"/>
      <c r="R9" s="15"/>
      <c r="S9" s="15"/>
      <c r="T9" s="15"/>
      <c r="U9" s="15"/>
      <c r="V9" s="15"/>
      <c r="W9" s="15"/>
    </row>
    <row r="10" spans="1:23" x14ac:dyDescent="0.3">
      <c r="A10" s="15"/>
      <c r="B10" s="15"/>
      <c r="C10" s="15"/>
      <c r="D10" s="15"/>
      <c r="E10" s="15"/>
      <c r="F10" s="15"/>
      <c r="G10" s="15"/>
      <c r="H10" s="15"/>
      <c r="I10" s="15"/>
      <c r="J10" s="15"/>
      <c r="K10" s="15"/>
      <c r="L10" s="15"/>
      <c r="M10" s="15"/>
      <c r="N10" s="15"/>
      <c r="O10" s="15"/>
      <c r="P10" s="15"/>
      <c r="Q10" s="15"/>
      <c r="R10" s="15"/>
      <c r="S10" s="15"/>
      <c r="T10" s="15"/>
      <c r="U10" s="15"/>
      <c r="V10" s="15"/>
      <c r="W10" s="15"/>
    </row>
    <row r="11" spans="1:23" x14ac:dyDescent="0.3">
      <c r="A11" s="15"/>
      <c r="B11" s="15"/>
      <c r="C11" s="15"/>
      <c r="D11" s="15"/>
      <c r="E11" s="15"/>
      <c r="F11" s="15"/>
      <c r="G11" s="15"/>
      <c r="H11" s="15"/>
      <c r="I11" s="15"/>
      <c r="J11" s="15"/>
      <c r="K11" s="15"/>
      <c r="L11" s="15"/>
      <c r="M11" s="15"/>
      <c r="N11" s="15"/>
      <c r="O11" s="15"/>
      <c r="P11" s="15"/>
      <c r="Q11" s="15"/>
      <c r="R11" s="15"/>
      <c r="S11" s="15"/>
      <c r="T11" s="15"/>
      <c r="U11" s="15"/>
      <c r="V11" s="15"/>
      <c r="W11" s="15"/>
    </row>
    <row r="12" spans="1:23" x14ac:dyDescent="0.3">
      <c r="A12" s="15"/>
      <c r="B12" s="15"/>
      <c r="C12" s="15"/>
      <c r="D12" s="15"/>
      <c r="E12" s="15"/>
      <c r="F12" s="15"/>
      <c r="G12" s="15"/>
      <c r="H12" s="15"/>
      <c r="I12" s="15"/>
      <c r="J12" s="15"/>
      <c r="K12" s="15"/>
      <c r="L12" s="15"/>
      <c r="M12" s="15"/>
      <c r="N12" s="15"/>
      <c r="O12" s="15"/>
      <c r="P12" s="15"/>
      <c r="Q12" s="15"/>
      <c r="R12" s="15"/>
      <c r="S12" s="15"/>
      <c r="T12" s="15"/>
      <c r="U12" s="15"/>
      <c r="V12" s="15"/>
      <c r="W12" s="15"/>
    </row>
    <row r="13" spans="1:23" x14ac:dyDescent="0.3">
      <c r="A13" s="15"/>
      <c r="B13" s="15"/>
      <c r="C13" s="15"/>
      <c r="D13" s="15"/>
      <c r="E13" s="15"/>
      <c r="F13" s="15"/>
      <c r="G13" s="15"/>
      <c r="H13" s="15"/>
      <c r="I13" s="15"/>
      <c r="J13" s="15"/>
      <c r="K13" s="15"/>
      <c r="L13" s="15"/>
      <c r="M13" s="15"/>
      <c r="N13" s="15"/>
      <c r="O13" s="15"/>
      <c r="P13" s="15"/>
      <c r="Q13" s="15"/>
      <c r="R13" s="15"/>
      <c r="S13" s="15"/>
      <c r="T13" s="15"/>
      <c r="U13" s="15"/>
      <c r="V13" s="15"/>
      <c r="W13" s="15"/>
    </row>
    <row r="14" spans="1:23" x14ac:dyDescent="0.3">
      <c r="A14" s="15"/>
      <c r="B14" s="15"/>
      <c r="C14" s="15"/>
      <c r="D14" s="15"/>
      <c r="E14" s="15"/>
      <c r="F14" s="15"/>
      <c r="G14" s="15"/>
      <c r="H14" s="15"/>
      <c r="I14" s="15"/>
      <c r="J14" s="15"/>
      <c r="K14" s="15"/>
      <c r="L14" s="15"/>
      <c r="M14" s="15"/>
      <c r="N14" s="15"/>
      <c r="O14" s="15"/>
      <c r="P14" s="15"/>
      <c r="Q14" s="15"/>
      <c r="R14" s="15"/>
      <c r="S14" s="15"/>
      <c r="T14" s="15"/>
      <c r="U14" s="15"/>
      <c r="V14" s="15"/>
      <c r="W14" s="15"/>
    </row>
    <row r="15" spans="1:23" x14ac:dyDescent="0.3">
      <c r="A15" s="15"/>
      <c r="B15" s="15"/>
      <c r="C15" s="15"/>
      <c r="D15" s="15"/>
      <c r="E15" s="15"/>
      <c r="F15" s="15"/>
      <c r="G15" s="15"/>
      <c r="H15" s="15"/>
      <c r="I15" s="15"/>
      <c r="J15" s="15"/>
      <c r="K15" s="15"/>
      <c r="L15" s="15"/>
      <c r="M15" s="15"/>
      <c r="N15" s="15"/>
      <c r="O15" s="15"/>
      <c r="P15" s="15"/>
      <c r="Q15" s="15"/>
      <c r="R15" s="15"/>
      <c r="S15" s="15"/>
      <c r="T15" s="15"/>
      <c r="U15" s="15"/>
      <c r="V15" s="15"/>
      <c r="W15" s="15"/>
    </row>
    <row r="16" spans="1:23" x14ac:dyDescent="0.3">
      <c r="A16" s="15"/>
      <c r="B16" s="15"/>
      <c r="C16" s="15"/>
      <c r="D16" s="15"/>
      <c r="E16" s="15"/>
      <c r="F16" s="15"/>
      <c r="G16" s="15"/>
      <c r="H16" s="15"/>
      <c r="I16" s="15"/>
      <c r="J16" s="15"/>
      <c r="K16" s="15"/>
      <c r="L16" s="15"/>
      <c r="M16" s="15"/>
      <c r="N16" s="15"/>
      <c r="O16" s="15"/>
      <c r="P16" s="15"/>
      <c r="Q16" s="15"/>
      <c r="R16" s="15"/>
      <c r="S16" s="15"/>
      <c r="T16" s="15"/>
      <c r="U16" s="15"/>
      <c r="V16" s="15"/>
      <c r="W16" s="15"/>
    </row>
    <row r="17" spans="1:23" x14ac:dyDescent="0.3">
      <c r="A17" s="15"/>
      <c r="B17" s="15"/>
      <c r="C17" s="15"/>
      <c r="D17" s="15"/>
      <c r="E17" s="15"/>
      <c r="F17" s="15"/>
      <c r="G17" s="15"/>
      <c r="H17" s="15"/>
      <c r="I17" s="15"/>
      <c r="J17" s="15"/>
      <c r="K17" s="15"/>
      <c r="L17" s="15"/>
      <c r="M17" s="15"/>
      <c r="N17" s="15"/>
      <c r="O17" s="15"/>
      <c r="P17" s="15"/>
      <c r="Q17" s="15"/>
      <c r="R17" s="15"/>
      <c r="S17" s="15"/>
      <c r="T17" s="15"/>
      <c r="U17" s="15"/>
      <c r="V17" s="15"/>
      <c r="W17" s="15"/>
    </row>
    <row r="18" spans="1:23" x14ac:dyDescent="0.3">
      <c r="A18" s="15"/>
      <c r="B18" s="15"/>
      <c r="C18" s="15"/>
      <c r="D18" s="15"/>
      <c r="E18" s="15"/>
      <c r="F18" s="15"/>
      <c r="G18" s="15"/>
      <c r="H18" s="15"/>
      <c r="I18" s="15"/>
      <c r="J18" s="15"/>
      <c r="K18" s="15"/>
      <c r="L18" s="15"/>
      <c r="M18" s="15"/>
      <c r="N18" s="15"/>
      <c r="O18" s="15"/>
      <c r="P18" s="15"/>
      <c r="Q18" s="15"/>
      <c r="R18" s="15"/>
      <c r="S18" s="15"/>
      <c r="T18" s="15"/>
      <c r="U18" s="15"/>
      <c r="V18" s="15"/>
      <c r="W18" s="15"/>
    </row>
    <row r="19" spans="1:23" x14ac:dyDescent="0.3">
      <c r="A19" s="15"/>
      <c r="B19" s="15"/>
      <c r="C19" s="15"/>
      <c r="D19" s="15"/>
      <c r="E19" s="15"/>
      <c r="F19" s="15"/>
      <c r="G19" s="15"/>
      <c r="H19" s="15"/>
      <c r="I19" s="15"/>
      <c r="J19" s="15"/>
      <c r="K19" s="15"/>
      <c r="L19" s="15"/>
      <c r="M19" s="15"/>
      <c r="N19" s="15"/>
      <c r="O19" s="15"/>
      <c r="P19" s="15"/>
      <c r="Q19" s="15"/>
      <c r="R19" s="15"/>
      <c r="S19" s="15"/>
      <c r="T19" s="15"/>
      <c r="U19" s="15"/>
      <c r="V19" s="15"/>
      <c r="W19" s="15"/>
    </row>
    <row r="20" spans="1:23" x14ac:dyDescent="0.3">
      <c r="A20" s="15"/>
      <c r="B20" s="15"/>
      <c r="C20" s="15"/>
      <c r="D20" s="15"/>
      <c r="E20" s="15"/>
      <c r="F20" s="15"/>
      <c r="G20" s="15"/>
      <c r="H20" s="15"/>
      <c r="I20" s="15"/>
      <c r="J20" s="15"/>
      <c r="K20" s="15"/>
      <c r="L20" s="15"/>
      <c r="M20" s="15"/>
      <c r="N20" s="15"/>
      <c r="O20" s="15"/>
      <c r="P20" s="15"/>
      <c r="Q20" s="15"/>
      <c r="R20" s="15"/>
      <c r="S20" s="15"/>
      <c r="T20" s="15"/>
      <c r="U20" s="15"/>
      <c r="V20" s="15"/>
      <c r="W20" s="15"/>
    </row>
    <row r="21" spans="1:23" x14ac:dyDescent="0.3">
      <c r="A21" s="15"/>
      <c r="B21" s="15"/>
      <c r="C21" s="15"/>
      <c r="D21" s="15"/>
      <c r="E21" s="15"/>
      <c r="F21" s="15"/>
      <c r="G21" s="15"/>
      <c r="H21" s="15"/>
      <c r="I21" s="15"/>
      <c r="J21" s="15"/>
      <c r="K21" s="15"/>
      <c r="L21" s="15"/>
      <c r="M21" s="15"/>
      <c r="N21" s="15"/>
      <c r="O21" s="15"/>
      <c r="P21" s="15"/>
      <c r="Q21" s="15"/>
      <c r="R21" s="15"/>
      <c r="S21" s="15"/>
      <c r="T21" s="15"/>
      <c r="U21" s="15"/>
      <c r="V21" s="15"/>
      <c r="W21" s="15"/>
    </row>
    <row r="22" spans="1:23" x14ac:dyDescent="0.3">
      <c r="A22" s="15"/>
      <c r="B22" s="15"/>
      <c r="C22" s="15"/>
      <c r="D22" s="15"/>
      <c r="E22" s="15"/>
      <c r="F22" s="15"/>
      <c r="G22" s="15"/>
      <c r="H22" s="15"/>
      <c r="I22" s="15"/>
      <c r="J22" s="15"/>
      <c r="K22" s="15"/>
      <c r="L22" s="15"/>
      <c r="M22" s="15"/>
      <c r="N22" s="15"/>
      <c r="O22" s="15"/>
      <c r="P22" s="15"/>
      <c r="Q22" s="15"/>
      <c r="R22" s="15"/>
      <c r="S22" s="15"/>
      <c r="T22" s="15"/>
      <c r="U22" s="15"/>
      <c r="V22" s="15"/>
      <c r="W22" s="15"/>
    </row>
    <row r="23" spans="1:23" x14ac:dyDescent="0.3">
      <c r="A23" s="15"/>
      <c r="B23" s="15"/>
      <c r="C23" s="15"/>
      <c r="D23" s="15"/>
      <c r="E23" s="15"/>
      <c r="F23" s="15"/>
      <c r="G23" s="15"/>
      <c r="H23" s="15"/>
      <c r="I23" s="15"/>
      <c r="J23" s="15"/>
      <c r="K23" s="15"/>
      <c r="L23" s="15"/>
      <c r="M23" s="15"/>
      <c r="N23" s="15"/>
      <c r="O23" s="15"/>
      <c r="P23" s="15"/>
      <c r="Q23" s="15"/>
      <c r="R23" s="15"/>
      <c r="S23" s="15"/>
      <c r="T23" s="15"/>
      <c r="U23" s="15"/>
      <c r="V23" s="15"/>
      <c r="W23" s="15"/>
    </row>
    <row r="24" spans="1:23" x14ac:dyDescent="0.3">
      <c r="A24" s="15"/>
      <c r="B24" s="15"/>
      <c r="C24" s="15"/>
      <c r="D24" s="15"/>
      <c r="E24" s="15"/>
      <c r="F24" s="15"/>
      <c r="G24" s="15"/>
      <c r="H24" s="15"/>
      <c r="I24" s="15"/>
      <c r="J24" s="15"/>
      <c r="K24" s="15"/>
      <c r="L24" s="15"/>
      <c r="M24" s="15"/>
      <c r="N24" s="15"/>
      <c r="O24" s="15"/>
      <c r="P24" s="15"/>
      <c r="Q24" s="15"/>
      <c r="R24" s="15"/>
      <c r="S24" s="15"/>
      <c r="T24" s="15"/>
      <c r="U24" s="15"/>
      <c r="V24" s="15"/>
      <c r="W24" s="15"/>
    </row>
    <row r="25" spans="1:23" x14ac:dyDescent="0.3">
      <c r="A25" s="15"/>
      <c r="B25" s="15"/>
      <c r="C25" s="15"/>
      <c r="D25" s="15"/>
      <c r="E25" s="15"/>
      <c r="F25" s="15"/>
      <c r="G25" s="15"/>
      <c r="H25" s="15"/>
      <c r="I25" s="15"/>
      <c r="J25" s="15"/>
      <c r="K25" s="15"/>
      <c r="L25" s="15"/>
      <c r="M25" s="15"/>
      <c r="N25" s="15"/>
      <c r="O25" s="15"/>
      <c r="P25" s="15"/>
      <c r="Q25" s="15"/>
      <c r="R25" s="15"/>
      <c r="S25" s="15"/>
      <c r="T25" s="15"/>
      <c r="U25" s="15"/>
      <c r="V25" s="15"/>
      <c r="W25" s="15"/>
    </row>
    <row r="26" spans="1:23" x14ac:dyDescent="0.3">
      <c r="A26" s="15"/>
      <c r="B26" s="15"/>
      <c r="C26" s="15"/>
      <c r="D26" s="15"/>
      <c r="E26" s="15"/>
      <c r="F26" s="15"/>
      <c r="G26" s="15"/>
      <c r="H26" s="15"/>
      <c r="I26" s="15"/>
      <c r="J26" s="15"/>
      <c r="K26" s="15"/>
      <c r="L26" s="15"/>
      <c r="M26" s="15"/>
      <c r="N26" s="15"/>
      <c r="O26" s="15"/>
      <c r="P26" s="15"/>
      <c r="Q26" s="15"/>
      <c r="R26" s="15"/>
      <c r="S26" s="15"/>
      <c r="T26" s="15"/>
      <c r="U26" s="15"/>
      <c r="V26" s="15"/>
      <c r="W26" s="15"/>
    </row>
    <row r="27" spans="1:23" x14ac:dyDescent="0.3">
      <c r="A27" s="15"/>
      <c r="B27" s="15"/>
      <c r="C27" s="15"/>
      <c r="D27" s="15"/>
      <c r="E27" s="15"/>
      <c r="F27" s="15"/>
      <c r="G27" s="15"/>
      <c r="H27" s="15"/>
      <c r="I27" s="15"/>
      <c r="J27" s="15"/>
      <c r="K27" s="15"/>
      <c r="L27" s="15"/>
      <c r="M27" s="15"/>
      <c r="N27" s="15"/>
      <c r="O27" s="15"/>
      <c r="P27" s="15"/>
      <c r="Q27" s="15"/>
      <c r="R27" s="15"/>
      <c r="S27" s="15"/>
      <c r="T27" s="15"/>
      <c r="U27" s="15"/>
      <c r="V27" s="15"/>
      <c r="W27" s="15"/>
    </row>
    <row r="28" spans="1:23" x14ac:dyDescent="0.3">
      <c r="A28" s="15"/>
      <c r="B28" s="15"/>
      <c r="C28" s="15"/>
      <c r="D28" s="15"/>
      <c r="E28" s="15"/>
      <c r="F28" s="15"/>
      <c r="G28" s="15"/>
      <c r="H28" s="15"/>
      <c r="I28" s="15"/>
      <c r="J28" s="15"/>
      <c r="K28" s="15"/>
      <c r="L28" s="15"/>
      <c r="M28" s="15"/>
      <c r="N28" s="15"/>
      <c r="O28" s="15"/>
      <c r="P28" s="15"/>
      <c r="Q28" s="15"/>
      <c r="R28" s="15"/>
      <c r="S28" s="15"/>
      <c r="T28" s="15"/>
      <c r="U28" s="15"/>
      <c r="V28" s="15"/>
      <c r="W28" s="15"/>
    </row>
    <row r="29" spans="1:23" x14ac:dyDescent="0.3">
      <c r="A29" s="15"/>
      <c r="B29" s="15"/>
      <c r="C29" s="15"/>
      <c r="D29" s="15"/>
      <c r="E29" s="15"/>
      <c r="F29" s="15"/>
      <c r="G29" s="15"/>
      <c r="H29" s="15"/>
      <c r="I29" s="15"/>
      <c r="J29" s="15"/>
      <c r="K29" s="15"/>
      <c r="L29" s="15"/>
      <c r="M29" s="15"/>
      <c r="N29" s="15"/>
      <c r="O29" s="15"/>
      <c r="P29" s="15"/>
      <c r="Q29" s="15"/>
      <c r="R29" s="15"/>
      <c r="S29" s="15"/>
      <c r="T29" s="15"/>
      <c r="U29" s="15"/>
      <c r="V29" s="15"/>
      <c r="W29" s="15"/>
    </row>
    <row r="30" spans="1:23" x14ac:dyDescent="0.3">
      <c r="A30" s="15"/>
      <c r="B30" s="15"/>
      <c r="C30" s="15"/>
      <c r="D30" s="15"/>
      <c r="E30" s="15"/>
      <c r="F30" s="15"/>
      <c r="G30" s="15"/>
      <c r="H30" s="15"/>
      <c r="I30" s="15"/>
      <c r="J30" s="15"/>
      <c r="K30" s="15"/>
      <c r="L30" s="15"/>
      <c r="M30" s="15"/>
      <c r="N30" s="15"/>
      <c r="O30" s="15"/>
      <c r="P30" s="15"/>
      <c r="Q30" s="15"/>
      <c r="R30" s="15"/>
      <c r="S30" s="15"/>
      <c r="T30" s="15"/>
      <c r="U30" s="15"/>
      <c r="V30" s="15"/>
      <c r="W30" s="15"/>
    </row>
    <row r="31" spans="1:23" x14ac:dyDescent="0.3">
      <c r="A31" s="15"/>
      <c r="B31" s="15"/>
      <c r="C31" s="15"/>
      <c r="D31" s="15"/>
      <c r="E31" s="15"/>
      <c r="F31" s="15"/>
      <c r="G31" s="15"/>
      <c r="H31" s="15"/>
      <c r="I31" s="15"/>
      <c r="J31" s="15"/>
      <c r="K31" s="15"/>
      <c r="L31" s="15"/>
      <c r="M31" s="15"/>
      <c r="N31" s="15"/>
      <c r="O31" s="15"/>
      <c r="P31" s="15"/>
      <c r="Q31" s="15"/>
      <c r="R31" s="15"/>
      <c r="S31" s="15"/>
      <c r="T31" s="15"/>
      <c r="U31" s="15"/>
      <c r="V31" s="15"/>
      <c r="W31" s="15"/>
    </row>
    <row r="32" spans="1:23" x14ac:dyDescent="0.3">
      <c r="A32" s="15"/>
      <c r="B32" s="15"/>
      <c r="C32" s="15"/>
      <c r="D32" s="15"/>
      <c r="E32" s="15"/>
      <c r="F32" s="15"/>
      <c r="G32" s="15"/>
      <c r="H32" s="15"/>
      <c r="I32" s="15"/>
      <c r="J32" s="15"/>
      <c r="K32" s="15"/>
      <c r="L32" s="15"/>
      <c r="M32" s="15"/>
      <c r="N32" s="15"/>
      <c r="O32" s="15"/>
      <c r="P32" s="15"/>
      <c r="Q32" s="15"/>
      <c r="R32" s="15"/>
      <c r="S32" s="15"/>
      <c r="T32" s="15"/>
      <c r="U32" s="15"/>
      <c r="V32" s="15"/>
      <c r="W32" s="15"/>
    </row>
    <row r="33" spans="1:23" x14ac:dyDescent="0.3">
      <c r="A33" s="15"/>
      <c r="B33" s="15"/>
      <c r="C33" s="15"/>
      <c r="D33" s="15"/>
      <c r="E33" s="15"/>
      <c r="F33" s="15"/>
      <c r="G33" s="15"/>
      <c r="H33" s="15"/>
      <c r="I33" s="15"/>
      <c r="J33" s="15"/>
      <c r="K33" s="15"/>
      <c r="L33" s="15"/>
      <c r="M33" s="15"/>
      <c r="N33" s="15"/>
      <c r="O33" s="15"/>
      <c r="P33" s="15"/>
      <c r="Q33" s="15"/>
      <c r="R33" s="15"/>
      <c r="S33" s="15"/>
      <c r="T33" s="15"/>
      <c r="U33" s="15"/>
      <c r="V33" s="15"/>
      <c r="W33" s="15"/>
    </row>
    <row r="34" spans="1:23" x14ac:dyDescent="0.3">
      <c r="A34" s="15"/>
      <c r="B34" s="15"/>
      <c r="C34" s="15"/>
      <c r="D34" s="15"/>
      <c r="E34" s="15"/>
      <c r="F34" s="15"/>
      <c r="G34" s="15"/>
      <c r="H34" s="15"/>
      <c r="I34" s="15"/>
      <c r="J34" s="15"/>
      <c r="K34" s="15"/>
      <c r="L34" s="15"/>
      <c r="M34" s="15"/>
      <c r="N34" s="15"/>
      <c r="O34" s="15"/>
      <c r="P34" s="15"/>
      <c r="Q34" s="15"/>
      <c r="R34" s="15"/>
      <c r="S34" s="15"/>
      <c r="T34" s="15"/>
      <c r="U34" s="15"/>
      <c r="V34" s="15"/>
      <c r="W34" s="15"/>
    </row>
    <row r="35" spans="1:23" x14ac:dyDescent="0.3">
      <c r="A35" s="15"/>
      <c r="B35" s="15"/>
      <c r="C35" s="15"/>
      <c r="D35" s="15"/>
      <c r="E35" s="15"/>
      <c r="F35" s="15"/>
      <c r="G35" s="15"/>
      <c r="H35" s="15"/>
      <c r="I35" s="15"/>
      <c r="J35" s="15"/>
      <c r="K35" s="15"/>
      <c r="L35" s="15"/>
      <c r="M35" s="15"/>
      <c r="N35" s="15"/>
      <c r="O35" s="15"/>
      <c r="P35" s="15"/>
      <c r="Q35" s="15"/>
      <c r="R35" s="15"/>
      <c r="S35" s="15"/>
      <c r="T35" s="15"/>
      <c r="U35" s="15"/>
      <c r="V35" s="15"/>
      <c r="W35" s="15"/>
    </row>
    <row r="36" spans="1:23" x14ac:dyDescent="0.3">
      <c r="A36" s="15"/>
      <c r="B36" s="15"/>
      <c r="C36" s="15"/>
      <c r="D36" s="15"/>
      <c r="E36" s="15"/>
      <c r="F36" s="15"/>
      <c r="G36" s="15"/>
      <c r="H36" s="15"/>
      <c r="I36" s="15"/>
      <c r="J36" s="15"/>
      <c r="K36" s="15"/>
      <c r="L36" s="15"/>
      <c r="M36" s="15"/>
      <c r="N36" s="15"/>
      <c r="O36" s="15"/>
      <c r="P36" s="15"/>
      <c r="Q36" s="15"/>
      <c r="R36" s="15"/>
      <c r="S36" s="15"/>
      <c r="T36" s="15"/>
      <c r="U36" s="15"/>
      <c r="V36" s="15"/>
      <c r="W36" s="15"/>
    </row>
    <row r="37" spans="1:23" x14ac:dyDescent="0.3">
      <c r="A37" s="15"/>
      <c r="B37" s="15"/>
      <c r="C37" s="15"/>
      <c r="D37" s="15"/>
      <c r="E37" s="15"/>
      <c r="F37" s="15"/>
      <c r="G37" s="15"/>
      <c r="H37" s="15"/>
      <c r="I37" s="15"/>
      <c r="J37" s="15"/>
      <c r="K37" s="15"/>
      <c r="L37" s="15"/>
      <c r="M37" s="15"/>
      <c r="N37" s="15"/>
      <c r="O37" s="15"/>
      <c r="P37" s="15"/>
      <c r="Q37" s="15"/>
      <c r="R37" s="15"/>
      <c r="S37" s="15"/>
      <c r="T37" s="15"/>
      <c r="U37" s="15"/>
      <c r="V37" s="15"/>
      <c r="W37" s="15"/>
    </row>
    <row r="38" spans="1:23" x14ac:dyDescent="0.3">
      <c r="A38" s="15"/>
      <c r="B38" s="15"/>
      <c r="C38" s="15"/>
      <c r="D38" s="15"/>
      <c r="E38" s="15"/>
      <c r="F38" s="15"/>
      <c r="G38" s="15"/>
      <c r="H38" s="15"/>
      <c r="I38" s="15"/>
      <c r="J38" s="15"/>
      <c r="K38" s="15"/>
      <c r="L38" s="15"/>
      <c r="M38" s="15"/>
      <c r="N38" s="15"/>
      <c r="O38" s="15"/>
      <c r="P38" s="15"/>
      <c r="Q38" s="15"/>
      <c r="R38" s="15"/>
      <c r="S38" s="15"/>
      <c r="T38" s="15"/>
      <c r="U38" s="15"/>
      <c r="V38" s="15"/>
      <c r="W38" s="15"/>
    </row>
    <row r="39" spans="1:23" x14ac:dyDescent="0.3">
      <c r="A39" s="15"/>
      <c r="B39" s="15"/>
      <c r="C39" s="15"/>
      <c r="D39" s="15"/>
      <c r="E39" s="15"/>
      <c r="F39" s="15"/>
      <c r="G39" s="15"/>
      <c r="H39" s="15"/>
      <c r="I39" s="15"/>
      <c r="J39" s="15"/>
      <c r="K39" s="15"/>
      <c r="L39" s="15"/>
      <c r="M39" s="15"/>
      <c r="N39" s="15"/>
      <c r="O39" s="15"/>
      <c r="P39" s="15"/>
      <c r="Q39" s="15"/>
      <c r="R39" s="15"/>
      <c r="S39" s="15"/>
      <c r="T39" s="15"/>
      <c r="U39" s="15"/>
      <c r="V39" s="15"/>
      <c r="W39" s="15"/>
    </row>
    <row r="40" spans="1:23" x14ac:dyDescent="0.3">
      <c r="A40" s="15"/>
      <c r="B40" s="15"/>
      <c r="C40" s="15"/>
      <c r="D40" s="15"/>
      <c r="E40" s="15"/>
      <c r="F40" s="15"/>
      <c r="G40" s="15"/>
      <c r="H40" s="15"/>
      <c r="I40" s="15"/>
      <c r="J40" s="15"/>
      <c r="K40" s="15"/>
      <c r="L40" s="15"/>
      <c r="M40" s="15"/>
      <c r="N40" s="15"/>
      <c r="O40" s="15"/>
      <c r="P40" s="15"/>
      <c r="Q40" s="15"/>
      <c r="R40" s="15"/>
      <c r="S40" s="15"/>
      <c r="T40" s="15"/>
      <c r="U40" s="15"/>
      <c r="V40" s="15"/>
      <c r="W40" s="15"/>
    </row>
    <row r="41" spans="1:23" x14ac:dyDescent="0.3">
      <c r="A41" s="15"/>
      <c r="B41" s="15"/>
      <c r="C41" s="15"/>
      <c r="D41" s="15"/>
      <c r="E41" s="15"/>
      <c r="F41" s="15"/>
      <c r="G41" s="15"/>
      <c r="H41" s="15"/>
      <c r="I41" s="15"/>
      <c r="J41" s="15"/>
      <c r="K41" s="15"/>
      <c r="L41" s="15"/>
      <c r="M41" s="15"/>
      <c r="N41" s="15"/>
      <c r="O41" s="15"/>
      <c r="P41" s="15"/>
      <c r="Q41" s="15"/>
      <c r="R41" s="15"/>
      <c r="S41" s="15"/>
      <c r="T41" s="15"/>
      <c r="U41" s="15"/>
      <c r="V41" s="15"/>
      <c r="W41" s="15"/>
    </row>
    <row r="42" spans="1:23" x14ac:dyDescent="0.3">
      <c r="A42" s="15"/>
      <c r="B42" s="15"/>
      <c r="C42" s="15"/>
      <c r="D42" s="15"/>
      <c r="E42" s="15"/>
      <c r="F42" s="15"/>
      <c r="G42" s="15"/>
      <c r="H42" s="15"/>
      <c r="I42" s="15"/>
      <c r="J42" s="15"/>
      <c r="K42" s="15"/>
      <c r="L42" s="15"/>
      <c r="M42" s="15"/>
      <c r="N42" s="15"/>
      <c r="O42" s="15"/>
      <c r="P42" s="15"/>
      <c r="Q42" s="15"/>
      <c r="R42" s="15"/>
      <c r="S42" s="15"/>
      <c r="T42" s="15"/>
      <c r="U42" s="15"/>
      <c r="V42" s="15"/>
      <c r="W42" s="15"/>
    </row>
    <row r="43" spans="1:23" x14ac:dyDescent="0.3">
      <c r="A43" s="15"/>
      <c r="B43" s="15"/>
      <c r="C43" s="15"/>
      <c r="D43" s="15"/>
      <c r="E43" s="15"/>
      <c r="F43" s="15"/>
      <c r="G43" s="15"/>
      <c r="H43" s="15"/>
      <c r="I43" s="15"/>
      <c r="J43" s="15"/>
      <c r="K43" s="15"/>
      <c r="L43" s="15"/>
      <c r="M43" s="15"/>
      <c r="N43" s="15"/>
      <c r="O43" s="15"/>
      <c r="P43" s="15"/>
      <c r="Q43" s="15"/>
      <c r="R43" s="15"/>
      <c r="S43" s="15"/>
      <c r="T43" s="15"/>
      <c r="U43" s="15"/>
      <c r="V43" s="15"/>
      <c r="W43" s="15"/>
    </row>
    <row r="44" spans="1:23" x14ac:dyDescent="0.3">
      <c r="A44" s="15"/>
      <c r="B44" s="15"/>
      <c r="C44" s="15"/>
      <c r="D44" s="15"/>
      <c r="E44" s="15"/>
      <c r="F44" s="15"/>
      <c r="G44" s="15"/>
      <c r="H44" s="15"/>
      <c r="I44" s="15"/>
      <c r="J44" s="15"/>
      <c r="K44" s="15"/>
      <c r="L44" s="15"/>
      <c r="M44" s="15"/>
      <c r="N44" s="15"/>
      <c r="O44" s="15"/>
      <c r="P44" s="15"/>
      <c r="Q44" s="15"/>
      <c r="R44" s="15"/>
      <c r="S44" s="15"/>
      <c r="T44" s="15"/>
      <c r="U44" s="15"/>
      <c r="V44" s="15"/>
      <c r="W44" s="15"/>
    </row>
    <row r="45" spans="1:23" x14ac:dyDescent="0.3">
      <c r="A45" s="15"/>
      <c r="B45" s="15"/>
      <c r="C45" s="15"/>
      <c r="D45" s="15"/>
      <c r="E45" s="15"/>
      <c r="F45" s="15"/>
      <c r="G45" s="15"/>
      <c r="H45" s="15"/>
      <c r="I45" s="15"/>
      <c r="J45" s="15"/>
      <c r="K45" s="15"/>
      <c r="L45" s="15"/>
      <c r="M45" s="15"/>
      <c r="N45" s="15"/>
      <c r="O45" s="15"/>
      <c r="P45" s="15"/>
      <c r="Q45" s="15"/>
      <c r="R45" s="15"/>
      <c r="S45" s="15"/>
      <c r="T45" s="15"/>
      <c r="U45" s="15"/>
      <c r="V45" s="15"/>
      <c r="W45" s="15"/>
    </row>
  </sheetData>
  <mergeCells count="1">
    <mergeCell ref="A1:W45"/>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Props1.xml><?xml version="1.0" encoding="utf-8"?>
<ds:datastoreItem xmlns:ds="http://schemas.openxmlformats.org/officeDocument/2006/customXml" ds:itemID="{78C3B7C1-0EAC-4C53-A499-D1123634F731}">
  <ds:schemaRefs/>
</ds:datastoreItem>
</file>

<file path=customXml/itemProps2.xml><?xml version="1.0" encoding="utf-8"?>
<ds:datastoreItem xmlns:ds="http://schemas.openxmlformats.org/officeDocument/2006/customXml" ds:itemID="{5AB22203-A831-4595-82ED-7BC90FFBCB79}">
  <ds:schemaRefs/>
</ds:datastoreItem>
</file>

<file path=customXml/itemProps3.xml><?xml version="1.0" encoding="utf-8"?>
<ds:datastoreItem xmlns:ds="http://schemas.openxmlformats.org/officeDocument/2006/customXml" ds:itemID="{3ACBCBB5-B390-438A-AF9F-491C627E36FC}">
  <ds:schemaRefs/>
</ds:datastoreItem>
</file>

<file path=customXml/itemProps4.xml><?xml version="1.0" encoding="utf-8"?>
<ds:datastoreItem xmlns:ds="http://schemas.openxmlformats.org/officeDocument/2006/customXml" ds:itemID="{F4F3A5E5-DEEB-4B67-8D3C-4F9B5D1F5220}">
  <ds:schemaRefs/>
</ds:datastoreItem>
</file>

<file path=customXml/itemProps5.xml><?xml version="1.0" encoding="utf-8"?>
<ds:datastoreItem xmlns:ds="http://schemas.openxmlformats.org/officeDocument/2006/customXml" ds:itemID="{8BE17C7B-D4F7-47C4-9A53-AF9F7EF42AE7}">
  <ds:schemaRefs/>
</ds:datastoreItem>
</file>

<file path=customXml/itemProps6.xml><?xml version="1.0" encoding="utf-8"?>
<ds:datastoreItem xmlns:ds="http://schemas.openxmlformats.org/officeDocument/2006/customXml" ds:itemID="{98C41483-38FC-458A-9D20-243880F04A37}">
  <ds:schemaRefs/>
</ds:datastoreItem>
</file>

<file path=customXml/itemProps7.xml><?xml version="1.0" encoding="utf-8"?>
<ds:datastoreItem xmlns:ds="http://schemas.openxmlformats.org/officeDocument/2006/customXml" ds:itemID="{DF401122-46AE-46B8-AA70-76F0D0A81E3D}">
  <ds:schemaRefs/>
</ds:datastoreItem>
</file>

<file path=customXml/itemProps8.xml><?xml version="1.0" encoding="utf-8"?>
<ds:datastoreItem xmlns:ds="http://schemas.openxmlformats.org/officeDocument/2006/customXml" ds:itemID="{C7431C1D-D668-4442-A17C-E869A2AC44DE}">
  <ds:schemaRefs/>
</ds:datastoreItem>
</file>

<file path=customXml/itemProps9.xml><?xml version="1.0" encoding="utf-8"?>
<ds:datastoreItem xmlns:ds="http://schemas.openxmlformats.org/officeDocument/2006/customXml" ds:itemID="{7A902B20-EC00-4FE2-857B-48375D5DCB22}">
  <ds:schemaRefs/>
</ds:datastoreItem>
</file>

<file path=customXml/itemProps10.xml><?xml version="1.0" encoding="utf-8"?>
<ds:datastoreItem xmlns:ds="http://schemas.openxmlformats.org/officeDocument/2006/customXml" ds:itemID="{CE5A379F-8B1F-4455-A8B5-CF1188892031}">
  <ds:schemaRefs/>
</ds:datastoreItem>
</file>

<file path=customXml/itemProps11.xml><?xml version="1.0" encoding="utf-8"?>
<ds:datastoreItem xmlns:ds="http://schemas.openxmlformats.org/officeDocument/2006/customXml" ds:itemID="{C07E6F20-89F0-4846-B478-84D41C1E27AD}">
  <ds:schemaRefs/>
</ds:datastoreItem>
</file>

<file path=customXml/itemProps12.xml><?xml version="1.0" encoding="utf-8"?>
<ds:datastoreItem xmlns:ds="http://schemas.openxmlformats.org/officeDocument/2006/customXml" ds:itemID="{CFB63AC8-7953-420F-BDC2-62A23456E24E}">
  <ds:schemaRefs/>
</ds:datastoreItem>
</file>

<file path=customXml/itemProps13.xml><?xml version="1.0" encoding="utf-8"?>
<ds:datastoreItem xmlns:ds="http://schemas.openxmlformats.org/officeDocument/2006/customXml" ds:itemID="{530ED656-9A41-4693-BEDB-0E11EC22408B}">
  <ds:schemaRefs/>
</ds:datastoreItem>
</file>

<file path=customXml/itemProps14.xml><?xml version="1.0" encoding="utf-8"?>
<ds:datastoreItem xmlns:ds="http://schemas.openxmlformats.org/officeDocument/2006/customXml" ds:itemID="{A8015A95-2CE9-42BA-AB70-50AF7B2EB94D}">
  <ds:schemaRefs/>
</ds:datastoreItem>
</file>

<file path=customXml/itemProps15.xml><?xml version="1.0" encoding="utf-8"?>
<ds:datastoreItem xmlns:ds="http://schemas.openxmlformats.org/officeDocument/2006/customXml" ds:itemID="{96DCBFDB-56A8-409B-93FA-64C2939B1CCD}">
  <ds:schemaRefs/>
</ds:datastoreItem>
</file>

<file path=customXml/itemProps16.xml><?xml version="1.0" encoding="utf-8"?>
<ds:datastoreItem xmlns:ds="http://schemas.openxmlformats.org/officeDocument/2006/customXml" ds:itemID="{AE976593-CADF-4597-9654-F0C8A42740B4}">
  <ds:schemaRefs/>
</ds:datastoreItem>
</file>

<file path=customXml/itemProps17.xml><?xml version="1.0" encoding="utf-8"?>
<ds:datastoreItem xmlns:ds="http://schemas.openxmlformats.org/officeDocument/2006/customXml" ds:itemID="{BB8AD33A-EEFC-4469-A0E9-33C65B4F5FD6}">
  <ds:schemaRefs/>
</ds:datastoreItem>
</file>

<file path=customXml/itemProps18.xml><?xml version="1.0" encoding="utf-8"?>
<ds:datastoreItem xmlns:ds="http://schemas.openxmlformats.org/officeDocument/2006/customXml" ds:itemID="{03AA27C4-9D69-4F4C-B2DB-15CB9174BCDB}">
  <ds:schemaRefs/>
</ds:datastoreItem>
</file>

<file path=customXml/itemProps19.xml><?xml version="1.0" encoding="utf-8"?>
<ds:datastoreItem xmlns:ds="http://schemas.openxmlformats.org/officeDocument/2006/customXml" ds:itemID="{B8A9D4CC-61FE-476E-A881-CE68A69926D3}">
  <ds:schemaRefs/>
</ds:datastoreItem>
</file>

<file path=customXml/itemProps20.xml><?xml version="1.0" encoding="utf-8"?>
<ds:datastoreItem xmlns:ds="http://schemas.openxmlformats.org/officeDocument/2006/customXml" ds:itemID="{37553B80-4BDB-491A-9ED8-A3E330F1499E}">
  <ds:schemaRefs/>
</ds:datastoreItem>
</file>

<file path=customXml/itemProps21.xml><?xml version="1.0" encoding="utf-8"?>
<ds:datastoreItem xmlns:ds="http://schemas.openxmlformats.org/officeDocument/2006/customXml" ds:itemID="{A2BD8A26-0B88-44FB-A60A-1ED236222A51}">
  <ds:schemaRefs/>
</ds:datastoreItem>
</file>

<file path=customXml/itemProps22.xml><?xml version="1.0" encoding="utf-8"?>
<ds:datastoreItem xmlns:ds="http://schemas.openxmlformats.org/officeDocument/2006/customXml" ds:itemID="{6533B3D2-98A9-4E75-BC0F-7A4CAC2B66E9}">
  <ds:schemaRefs/>
</ds:datastoreItem>
</file>

<file path=customXml/itemProps23.xml><?xml version="1.0" encoding="utf-8"?>
<ds:datastoreItem xmlns:ds="http://schemas.openxmlformats.org/officeDocument/2006/customXml" ds:itemID="{48B1D586-C120-495B-A0A8-D8B5CF90E1DA}">
  <ds:schemaRefs>
    <ds:schemaRef ds:uri="http://schemas.microsoft.com/DataMashup"/>
  </ds:schemaRefs>
</ds:datastoreItem>
</file>

<file path=customXml/itemProps24.xml><?xml version="1.0" encoding="utf-8"?>
<ds:datastoreItem xmlns:ds="http://schemas.openxmlformats.org/officeDocument/2006/customXml" ds:itemID="{43DF27E4-68E0-4A2A-AD6A-F532509C1008}">
  <ds:schemaRefs/>
</ds:datastoreItem>
</file>

<file path=customXml/itemProps25.xml><?xml version="1.0" encoding="utf-8"?>
<ds:datastoreItem xmlns:ds="http://schemas.openxmlformats.org/officeDocument/2006/customXml" ds:itemID="{2952D3E5-84B6-477D-9726-76AF841C7A22}">
  <ds:schemaRefs/>
</ds:datastoreItem>
</file>

<file path=customXml/itemProps26.xml><?xml version="1.0" encoding="utf-8"?>
<ds:datastoreItem xmlns:ds="http://schemas.openxmlformats.org/officeDocument/2006/customXml" ds:itemID="{DD4B3ECA-6E86-4312-8D20-7DBE65A6CD0F}">
  <ds:schemaRefs/>
</ds:datastoreItem>
</file>

<file path=customXml/itemProps27.xml><?xml version="1.0" encoding="utf-8"?>
<ds:datastoreItem xmlns:ds="http://schemas.openxmlformats.org/officeDocument/2006/customXml" ds:itemID="{6610FA26-FA59-41FE-A296-949B6595A8AD}">
  <ds:schemaRefs/>
</ds:datastoreItem>
</file>

<file path=customXml/itemProps28.xml><?xml version="1.0" encoding="utf-8"?>
<ds:datastoreItem xmlns:ds="http://schemas.openxmlformats.org/officeDocument/2006/customXml" ds:itemID="{5A07B52C-F857-4F02-884E-00E5ACCBBF89}">
  <ds:schemaRefs/>
</ds:datastoreItem>
</file>

<file path=customXml/itemProps29.xml><?xml version="1.0" encoding="utf-8"?>
<ds:datastoreItem xmlns:ds="http://schemas.openxmlformats.org/officeDocument/2006/customXml" ds:itemID="{CA78A42D-425E-4A67-A7A5-F83EA6FD5015}">
  <ds:schemaRefs/>
</ds:datastoreItem>
</file>

<file path=customXml/itemProps30.xml><?xml version="1.0" encoding="utf-8"?>
<ds:datastoreItem xmlns:ds="http://schemas.openxmlformats.org/officeDocument/2006/customXml" ds:itemID="{FB359435-995A-4076-B57F-8EDA2507D4EF}">
  <ds:schemaRefs/>
</ds:datastoreItem>
</file>

<file path=customXml/itemProps31.xml><?xml version="1.0" encoding="utf-8"?>
<ds:datastoreItem xmlns:ds="http://schemas.openxmlformats.org/officeDocument/2006/customXml" ds:itemID="{6030FF0C-3897-4142-AB3B-46986E726EA7}">
  <ds:schemaRefs/>
</ds:datastoreItem>
</file>

<file path=customXml/itemProps32.xml><?xml version="1.0" encoding="utf-8"?>
<ds:datastoreItem xmlns:ds="http://schemas.openxmlformats.org/officeDocument/2006/customXml" ds:itemID="{AC5F8365-C044-4F20-9B50-42AE55322650}">
  <ds:schemaRefs/>
</ds:datastoreItem>
</file>

<file path=customXml/itemProps33.xml><?xml version="1.0" encoding="utf-8"?>
<ds:datastoreItem xmlns:ds="http://schemas.openxmlformats.org/officeDocument/2006/customXml" ds:itemID="{9CE95908-CFCF-4828-85C9-684F397AB683}">
  <ds:schemaRefs/>
</ds:datastoreItem>
</file>

<file path=customXml/itemProps34.xml><?xml version="1.0" encoding="utf-8"?>
<ds:datastoreItem xmlns:ds="http://schemas.openxmlformats.org/officeDocument/2006/customXml" ds:itemID="{E55876A9-1B7C-4649-B163-304261EDEC8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Madhu Sekhar Rachaneni</dc:creator>
  <cp:lastModifiedBy>Madhu Sekhar Rachaneni</cp:lastModifiedBy>
  <dcterms:created xsi:type="dcterms:W3CDTF">2026-04-25T13:14:23Z</dcterms:created>
  <dcterms:modified xsi:type="dcterms:W3CDTF">2026-05-02T04:24:00Z</dcterms:modified>
</cp:coreProperties>
</file>